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hidePivotFieldList="1" defaultThemeVersion="166925"/>
  <mc:AlternateContent xmlns:mc="http://schemas.openxmlformats.org/markup-compatibility/2006">
    <mc:Choice Requires="x15">
      <x15ac:absPath xmlns:x15ac="http://schemas.microsoft.com/office/spreadsheetml/2010/11/ac" url="C:\Users\Lenovo\Desktop\Excel Projects\"/>
    </mc:Choice>
  </mc:AlternateContent>
  <xr:revisionPtr revIDLastSave="0" documentId="13_ncr:1_{CA7B8514-3619-4C75-A0A2-46A5ED2D01E9}" xr6:coauthVersionLast="47" xr6:coauthVersionMax="47" xr10:uidLastSave="{00000000-0000-0000-0000-000000000000}"/>
  <bookViews>
    <workbookView xWindow="816" yWindow="2544" windowWidth="17280" windowHeight="8880" firstSheet="1" activeTab="2" xr2:uid="{C1421227-79C9-41B4-8FDE-CEB09B808EED}"/>
  </bookViews>
  <sheets>
    <sheet name="Raw Data" sheetId="1" r:id="rId1"/>
    <sheet name="Pivot Table" sheetId="3" r:id="rId2"/>
    <sheet name="Dashboard" sheetId="4" r:id="rId3"/>
    <sheet name="Patient Satification Score" sheetId="9" r:id="rId4"/>
    <sheet name="Avg Patient Waittime" sheetId="8" r:id="rId5"/>
    <sheet name="Daily ER No. Of Patient" sheetId="7" r:id="rId6"/>
  </sheets>
  <definedNames>
    <definedName name="Slicer_Date__Month">#N/A</definedName>
    <definedName name="Slicer_Date__Year">#N/A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s>
  <extLst>
    <ext xmlns:x14="http://schemas.microsoft.com/office/spreadsheetml/2009/9/main" uri="{876F7934-8845-4945-9796-88D515C7AA90}">
      <x14:pivotCaches>
        <pivotCache cacheId="14" r:id="rId21"/>
      </x14:pivotCaches>
    </ext>
    <ext xmlns:x14="http://schemas.microsoft.com/office/spreadsheetml/2009/9/main" uri="{BBE1A952-AA13-448e-AADC-164F8A28A991}">
      <x14:slicerCaches>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lender_Table_c7f06a6e-bfaf-4aed-8bd5-d9110c87f489" name="Calender_Table" connection="Query - Calender_Table"/>
          <x15:modelTable id="Hospital Emergency Room Data  1_df98dc84-5724-41d2-8414-10c951c70539" name="Hospital Emergency Room Data  1" connection="Query - Hospital Emergency Room Data (1)"/>
        </x15:modelTables>
        <x15:modelRelationships>
          <x15:modelRelationship fromTable="Hospital Emergency Room Data  1" fromColumn="Patient Admission Date" toTable="Calender_Table" toColumn="Date"/>
        </x15:modelRelationships>
        <x15:extLst>
          <ext xmlns:x16="http://schemas.microsoft.com/office/spreadsheetml/2014/11/main" uri="{9835A34E-60A6-4A7C-AAB8-D5F71C897F49}">
            <x16:modelTimeGroupings>
              <x16:modelTimeGrouping tableName="Calende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0" i="3" l="1"/>
  <c r="C50" i="3"/>
  <c r="B49" i="3"/>
  <c r="C49" i="3"/>
  <c r="A50" i="3"/>
  <c r="A4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7B1CE4-BE61-4A6C-A179-0D1DB07E040D}" name="Query - Calender_Table" description="Connection to the 'Calender_Table' query in the workbook." type="100" refreshedVersion="8" minRefreshableVersion="5">
    <extLst>
      <ext xmlns:x15="http://schemas.microsoft.com/office/spreadsheetml/2010/11/main" uri="{DE250136-89BD-433C-8126-D09CA5730AF9}">
        <x15:connection id="c7384cb4-32bc-43ca-8c5d-9e684f5db658"/>
      </ext>
    </extLst>
  </connection>
  <connection id="2" xr16:uid="{04B08E07-D684-4F5D-8D20-F66607C5A0EB}" name="Query - Hospital Emergency Room Data (1)" description="Connection to the 'Hospital Emergency Room Data (1)' query in the workbook." type="100" refreshedVersion="8" minRefreshableVersion="5">
    <extLst>
      <ext xmlns:x15="http://schemas.microsoft.com/office/spreadsheetml/2010/11/main" uri="{DE250136-89BD-433C-8126-D09CA5730AF9}">
        <x15:connection id="5aa83d9a-1944-4b7a-8caf-f64a1fb8bf68"/>
      </ext>
    </extLst>
  </connection>
  <connection id="3" xr16:uid="{416B1AE5-DE10-4DCF-8664-495A2DDEDF5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<sst xmlns="http://schemas.openxmlformats.org/spreadsheetml/2006/main" count="167" uniqueCount="71">
  <si>
    <t>Row Labels</t>
  </si>
  <si>
    <t>Grand Total</t>
  </si>
  <si>
    <t>Count of Patient Id</t>
  </si>
  <si>
    <t>Male</t>
  </si>
  <si>
    <t>None</t>
  </si>
  <si>
    <t>Admitted</t>
  </si>
  <si>
    <t>60-69</t>
  </si>
  <si>
    <t>Delay</t>
  </si>
  <si>
    <t>70-79</t>
  </si>
  <si>
    <t>10-19</t>
  </si>
  <si>
    <t>OnTime</t>
  </si>
  <si>
    <t>40-49</t>
  </si>
  <si>
    <t>50-59</t>
  </si>
  <si>
    <t>20-29</t>
  </si>
  <si>
    <t>0-9</t>
  </si>
  <si>
    <t>30-39</t>
  </si>
  <si>
    <t>Female</t>
  </si>
  <si>
    <t>Not Admitted</t>
  </si>
  <si>
    <t>Average of Patient Waittime</t>
  </si>
  <si>
    <t>Sum of Patient Satisfaction Score</t>
  </si>
  <si>
    <t>Average of Patient Satisfaction Score</t>
  </si>
  <si>
    <t>Distinct Count of Patient Id</t>
  </si>
  <si>
    <t>2023</t>
  </si>
  <si>
    <t>Cardiology</t>
  </si>
  <si>
    <t>Gastroenterology</t>
  </si>
  <si>
    <t>General Practice</t>
  </si>
  <si>
    <t>Neurology</t>
  </si>
  <si>
    <t>Orthopedics</t>
  </si>
  <si>
    <t>Physiotherapy</t>
  </si>
  <si>
    <t>Renal</t>
  </si>
  <si>
    <t>Count of Patient Admission Flag</t>
  </si>
  <si>
    <t>Count of Patient Admission Flag2</t>
  </si>
  <si>
    <t>Admission Status</t>
  </si>
  <si>
    <t>Patients</t>
  </si>
  <si>
    <t>% of Total</t>
  </si>
  <si>
    <t>Status in %</t>
  </si>
  <si>
    <t xml:space="preserve"> </t>
  </si>
  <si>
    <t>Count of Age Group</t>
  </si>
  <si>
    <t>Count of Patient Gender</t>
  </si>
  <si>
    <t>1-May</t>
  </si>
  <si>
    <t>2-May</t>
  </si>
  <si>
    <t>3-May</t>
  </si>
  <si>
    <t>4-May</t>
  </si>
  <si>
    <t>5-May</t>
  </si>
  <si>
    <t>6-May</t>
  </si>
  <si>
    <t>7-May</t>
  </si>
  <si>
    <t>8-May</t>
  </si>
  <si>
    <t>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</si>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</sst>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sz val="11"/>
      <color theme="1" tint="0.249977111117893"/>
      <name val="Calibri"/>
      <family val="2"/>
      <scheme val="minor"/>
    </font>
  </fonts>
  <fills count="7">
    <fill>
      <patternFill patternType="none"/>
    </fill>
    <fill>
      <patternFill patternType="gray125"/>
    </fill>
    <fill>
      <patternFill patternType="solid">
        <fgColor theme="1" tint="0.249977111117893"/>
        <bgColor indexed="64"/>
      </patternFill>
    </fill>
    <fill>
      <patternFill patternType="solid">
        <fgColor theme="4" tint="0.79998168889431442"/>
        <bgColor theme="4" tint="0.79998168889431442"/>
      </patternFill>
    </fill>
    <fill>
      <patternFill patternType="solid">
        <fgColor theme="2" tint="-0.499984740745262"/>
        <bgColor indexed="64"/>
      </patternFill>
    </fill>
    <fill>
      <patternFill patternType="solid">
        <fgColor theme="0" tint="-4.9989318521683403E-2"/>
        <bgColor indexed="64"/>
      </patternFill>
    </fill>
    <fill>
      <patternFill patternType="solid">
        <fgColor theme="2" tint="-0.749992370372631"/>
        <bgColor indexed="64"/>
      </patternFill>
    </fill>
  </fills>
  <borders count="2">
    <border>
      <left/>
      <right/>
      <top/>
      <bottom/>
      <diagonal/>
    </border>
    <border>
      <left/>
      <right/>
      <top/>
      <bottom style="thin">
        <color theme="4" tint="0.39997558519241921"/>
      </bottom>
      <diagonal/>
    </border>
  </borders>
  <cellStyleXfs count="1">
    <xf numFmtId="0" fontId="0" fillId="0" borderId="0"/>
  </cellStyleXfs>
  <cellXfs count="17">
    <xf numFmtId="0" fontId="0" fillId="0" borderId="0" xfId="0"/>
    <xf numFmtId="0" fontId="2" fillId="2" borderId="0" xfId="0" applyFont="1" applyFill="1"/>
    <xf numFmtId="0" fontId="0" fillId="2" borderId="0" xfId="0" applyFill="1"/>
    <xf numFmtId="0" fontId="0" fillId="0" borderId="0" xfId="0" pivotButton="1"/>
    <xf numFmtId="0" fontId="0" fillId="0" borderId="0" xfId="0" applyAlignment="1">
      <alignment horizontal="left"/>
    </xf>
    <xf numFmtId="0" fontId="1" fillId="3" borderId="1" xfId="0" applyFont="1" applyFill="1" applyBorder="1"/>
    <xf numFmtId="2" fontId="0" fillId="0" borderId="0" xfId="0" applyNumberFormat="1"/>
    <xf numFmtId="0" fontId="0" fillId="0" borderId="0" xfId="0" applyAlignment="1">
      <alignment horizontal="left" indent="1"/>
    </xf>
    <xf numFmtId="14" fontId="0" fillId="0" borderId="0" xfId="0" applyNumberFormat="1" applyAlignment="1">
      <alignment horizontal="left" indent="2"/>
    </xf>
    <xf numFmtId="0" fontId="0" fillId="4" borderId="0" xfId="0" applyFill="1"/>
    <xf numFmtId="0" fontId="0" fillId="5" borderId="0" xfId="0" applyFill="1"/>
    <xf numFmtId="0" fontId="0" fillId="6" borderId="0" xfId="0" applyFill="1"/>
    <xf numFmtId="1" fontId="0" fillId="0" borderId="0" xfId="0" applyNumberFormat="1"/>
    <xf numFmtId="10" fontId="0" fillId="0" borderId="0" xfId="0" applyNumberFormat="1"/>
    <xf numFmtId="0" fontId="0" fillId="5" borderId="0" xfId="0" applyFill="1" applyAlignment="1">
      <alignment horizontal="left"/>
    </xf>
    <xf numFmtId="0" fontId="0" fillId="5" borderId="0" xfId="0" applyFill="1" applyAlignment="1">
      <alignment horizontal="center"/>
    </xf>
    <xf numFmtId="10" fontId="0" fillId="5" borderId="0" xfId="0" applyNumberFormat="1" applyFill="1" applyAlignment="1">
      <alignment horizontal="center"/>
    </xf>
  </cellXfs>
  <cellStyles count="1">
    <cellStyle name="Normal" xfId="0" builtinId="0"/>
  </cellStyles>
  <dxfs count="21">
    <dxf>
      <numFmt numFmtId="2" formatCode="0.00"/>
    </dxf>
    <dxf>
      <numFmt numFmtId="2" formatCode="0.00"/>
    </dxf>
    <dxf>
      <numFmt numFmtId="2" formatCode="0.00"/>
    </dxf>
    <dxf>
      <numFmt numFmtId="1" formatCode="0"/>
    </dxf>
    <dxf>
      <numFmt numFmtId="1" formatCode="0"/>
    </dxf>
    <dxf>
      <numFmt numFmtId="2" formatCode="0.00"/>
    </dxf>
    <dxf>
      <numFmt numFmtId="1" formatCode="0"/>
    </dxf>
    <dxf>
      <numFmt numFmtId="2" formatCode="0.00"/>
    </dxf>
    <dxf>
      <numFmt numFmtId="14" formatCode="0.00%"/>
    </dxf>
    <dxf>
      <numFmt numFmtId="1" formatCode="0"/>
    </dxf>
    <dxf>
      <numFmt numFmtId="2" formatCode="0.00"/>
    </dxf>
    <dxf>
      <numFmt numFmtId="1" formatCode="0"/>
    </dxf>
    <dxf>
      <numFmt numFmtId="2" formatCode="0.00"/>
    </dxf>
    <dxf>
      <numFmt numFmtId="2" formatCode="0.00"/>
    </dxf>
    <dxf>
      <numFmt numFmtId="2" formatCode="0.00"/>
    </dxf>
    <dxf>
      <numFmt numFmtId="1" formatCode="0"/>
    </dxf>
    <dxf>
      <numFmt numFmtId="2" formatCode="0.00"/>
    </dxf>
    <dxf>
      <numFmt numFmtId="1" formatCode="0"/>
    </dxf>
    <dxf>
      <numFmt numFmtId="2" formatCode="0.00"/>
    </dxf>
    <dxf>
      <font>
        <b/>
        <color theme="1"/>
      </font>
      <border>
        <bottom style="thin">
          <color theme="5"/>
        </bottom>
        <vertical/>
        <horizontal/>
      </border>
    </dxf>
    <dxf>
      <font>
        <sz val="10"/>
        <color theme="0"/>
      </font>
      <border diagonalUp="0" diagonalDown="0">
        <left/>
        <right/>
        <top/>
        <bottom/>
        <vertical/>
        <horizontal/>
      </border>
    </dxf>
  </dxfs>
  <tableStyles count="1" defaultTableStyle="TableStyleMedium2" defaultPivotStyle="PivotStyleLight16">
    <tableStyle name="My Slicer" pivot="0" table="0" count="10" xr9:uid="{82B5B3A6-7B49-4AC3-9A28-53D2402B1332}">
      <tableStyleElement type="wholeTable" dxfId="20"/>
      <tableStyleElement type="headerRow" dxfId="1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gray0625">
              <fgColor theme="5"/>
              <bgColor theme="5"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26" Type="http://schemas.openxmlformats.org/officeDocument/2006/relationships/styles" Target="styles.xml"/><Relationship Id="rId39" Type="http://schemas.openxmlformats.org/officeDocument/2006/relationships/customXml" Target="../customXml/item10.xml"/><Relationship Id="rId21" Type="http://schemas.openxmlformats.org/officeDocument/2006/relationships/pivotCacheDefinition" Target="pivotCache/pivotCacheDefinition15.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pivotCacheDefinition" Target="pivotCache/pivotCacheDefinition10.xml"/><Relationship Id="rId29" Type="http://schemas.openxmlformats.org/officeDocument/2006/relationships/calcChain" Target="calcChain.xml"/><Relationship Id="rId11" Type="http://schemas.openxmlformats.org/officeDocument/2006/relationships/pivotCacheDefinition" Target="pivotCache/pivotCacheDefinition5.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9.xml"/><Relationship Id="rId23" Type="http://schemas.microsoft.com/office/2007/relationships/slicerCache" Target="slicerCaches/slicerCache2.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pivotCacheDefinition" Target="pivotCache/pivotCacheDefinition4.xml"/><Relationship Id="rId19" Type="http://schemas.openxmlformats.org/officeDocument/2006/relationships/pivotCacheDefinition" Target="pivotCache/pivotCacheDefinition13.xml"/><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microsoft.com/office/2007/relationships/slicerCache" Target="slicerCaches/slicerCache1.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pivotCacheDefinition" Target="pivotCache/pivotCacheDefinition2.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14.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Table!PivotTable12</c:name>
    <c:fmtId val="1"/>
  </c:pivotSource>
  <c:chart>
    <c:autoTitleDeleted val="0"/>
    <c:pivotFmts>
      <c:pivotFmt>
        <c:idx val="0"/>
        <c:spPr>
          <a:solidFill>
            <a:schemeClr val="accent1">
              <a:alpha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95000"/>
            </a:schemeClr>
          </a:solidFill>
          <a:ln>
            <a:noFill/>
          </a:ln>
          <a:effectLst/>
        </c:spPr>
      </c:pivotFmt>
      <c:pivotFmt>
        <c:idx val="3"/>
        <c:spPr>
          <a:solidFill>
            <a:schemeClr val="accent1">
              <a:alpha val="95000"/>
            </a:schemeClr>
          </a:solidFill>
          <a:ln>
            <a:noFill/>
          </a:ln>
          <a:effectLst/>
        </c:spPr>
      </c:pivotFmt>
    </c:pivotFmts>
    <c:plotArea>
      <c:layout>
        <c:manualLayout>
          <c:layoutTarget val="inner"/>
          <c:xMode val="edge"/>
          <c:yMode val="edge"/>
          <c:x val="0.54834420169021292"/>
          <c:y val="0.14988690476190475"/>
          <c:w val="0.44993078563726041"/>
          <c:h val="0.8416746864975212"/>
        </c:manualLayout>
      </c:layout>
      <c:barChart>
        <c:barDir val="bar"/>
        <c:grouping val="clustered"/>
        <c:varyColors val="0"/>
        <c:ser>
          <c:idx val="0"/>
          <c:order val="0"/>
          <c:tx>
            <c:strRef>
              <c:f>'Pivot Table'!$B$40</c:f>
              <c:strCache>
                <c:ptCount val="1"/>
                <c:pt idx="0">
                  <c:v>Count of Patient Admission Flag</c:v>
                </c:pt>
              </c:strCache>
            </c:strRef>
          </c:tx>
          <c:spPr>
            <a:solidFill>
              <a:schemeClr val="accent1">
                <a:alpha val="95000"/>
              </a:schemeClr>
            </a:solidFill>
            <a:ln>
              <a:noFill/>
            </a:ln>
            <a:effectLst/>
          </c:spPr>
          <c:invertIfNegative val="0"/>
          <c:cat>
            <c:strRef>
              <c:f>'Pivot Table'!$A$41:$A$43</c:f>
              <c:strCache>
                <c:ptCount val="2"/>
                <c:pt idx="0">
                  <c:v>Admitted</c:v>
                </c:pt>
                <c:pt idx="1">
                  <c:v>Not Admitted</c:v>
                </c:pt>
              </c:strCache>
            </c:strRef>
          </c:cat>
          <c:val>
            <c:numRef>
              <c:f>'Pivot Table'!$B$41:$B$43</c:f>
              <c:numCache>
                <c:formatCode>0</c:formatCode>
                <c:ptCount val="2"/>
                <c:pt idx="0">
                  <c:v>229</c:v>
                </c:pt>
                <c:pt idx="1">
                  <c:v>251</c:v>
                </c:pt>
              </c:numCache>
            </c:numRef>
          </c:val>
          <c:extLst>
            <c:ext xmlns:c16="http://schemas.microsoft.com/office/drawing/2014/chart" uri="{C3380CC4-5D6E-409C-BE32-E72D297353CC}">
              <c16:uniqueId val="{0000000B-55C6-4088-A0BD-6D2BE83B4631}"/>
            </c:ext>
          </c:extLst>
        </c:ser>
        <c:ser>
          <c:idx val="1"/>
          <c:order val="1"/>
          <c:tx>
            <c:strRef>
              <c:f>'Pivot Table'!$C$40</c:f>
              <c:strCache>
                <c:ptCount val="1"/>
                <c:pt idx="0">
                  <c:v>Count of Patient Admission Flag2</c:v>
                </c:pt>
              </c:strCache>
            </c:strRef>
          </c:tx>
          <c:spPr>
            <a:solidFill>
              <a:schemeClr val="accent2"/>
            </a:solidFill>
            <a:ln>
              <a:noFill/>
            </a:ln>
            <a:effectLst/>
          </c:spPr>
          <c:invertIfNegative val="0"/>
          <c:cat>
            <c:strRef>
              <c:f>'Pivot Table'!$A$41:$A$43</c:f>
              <c:strCache>
                <c:ptCount val="2"/>
                <c:pt idx="0">
                  <c:v>Admitted</c:v>
                </c:pt>
                <c:pt idx="1">
                  <c:v>Not Admitted</c:v>
                </c:pt>
              </c:strCache>
            </c:strRef>
          </c:cat>
          <c:val>
            <c:numRef>
              <c:f>'Pivot Table'!$C$41:$C$43</c:f>
              <c:numCache>
                <c:formatCode>0.00%</c:formatCode>
                <c:ptCount val="2"/>
                <c:pt idx="0">
                  <c:v>0.47708333333333336</c:v>
                </c:pt>
                <c:pt idx="1">
                  <c:v>0.5229166666666667</c:v>
                </c:pt>
              </c:numCache>
            </c:numRef>
          </c:val>
          <c:extLst>
            <c:ext xmlns:c16="http://schemas.microsoft.com/office/drawing/2014/chart" uri="{C3380CC4-5D6E-409C-BE32-E72D297353CC}">
              <c16:uniqueId val="{0000000C-55C6-4088-A0BD-6D2BE83B4631}"/>
            </c:ext>
          </c:extLst>
        </c:ser>
        <c:dLbls>
          <c:showLegendKey val="0"/>
          <c:showVal val="0"/>
          <c:showCatName val="0"/>
          <c:showSerName val="0"/>
          <c:showPercent val="0"/>
          <c:showBubbleSize val="0"/>
        </c:dLbls>
        <c:gapWidth val="102"/>
        <c:overlap val="70"/>
        <c:axId val="303046047"/>
        <c:axId val="303043647"/>
      </c:barChart>
      <c:catAx>
        <c:axId val="303046047"/>
        <c:scaling>
          <c:orientation val="minMax"/>
        </c:scaling>
        <c:delete val="1"/>
        <c:axPos val="l"/>
        <c:numFmt formatCode="General" sourceLinked="1"/>
        <c:majorTickMark val="none"/>
        <c:minorTickMark val="none"/>
        <c:tickLblPos val="nextTo"/>
        <c:crossAx val="303043647"/>
        <c:crosses val="autoZero"/>
        <c:auto val="1"/>
        <c:lblAlgn val="ctr"/>
        <c:lblOffset val="100"/>
        <c:noMultiLvlLbl val="0"/>
      </c:catAx>
      <c:valAx>
        <c:axId val="303043647"/>
        <c:scaling>
          <c:orientation val="minMax"/>
        </c:scaling>
        <c:delete val="1"/>
        <c:axPos val="b"/>
        <c:numFmt formatCode="0" sourceLinked="1"/>
        <c:majorTickMark val="none"/>
        <c:minorTickMark val="none"/>
        <c:tickLblPos val="nextTo"/>
        <c:crossAx val="303046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Table!PivotTable15</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3.1230096237970253E-2"/>
          <c:y val="0.10933608083071113"/>
          <c:w val="0.73879943132108494"/>
          <c:h val="0.85529048125347062"/>
        </c:manualLayout>
      </c:layout>
      <c:pieChart>
        <c:varyColors val="1"/>
        <c:ser>
          <c:idx val="0"/>
          <c:order val="0"/>
          <c:tx>
            <c:strRef>
              <c:f>'Pivot Table'!$L$54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98-4608-AE48-2D858E94FA0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98-4608-AE48-2D858E94FA0D}"/>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Table'!$K$55:$K$57</c:f>
              <c:strCache>
                <c:ptCount val="2"/>
                <c:pt idx="0">
                  <c:v>Female</c:v>
                </c:pt>
                <c:pt idx="1">
                  <c:v>Male</c:v>
                </c:pt>
              </c:strCache>
            </c:strRef>
          </c:cat>
          <c:val>
            <c:numRef>
              <c:f>'Pivot Table'!$L$55:$L$57</c:f>
              <c:numCache>
                <c:formatCode>0</c:formatCode>
                <c:ptCount val="2"/>
                <c:pt idx="0">
                  <c:v>261</c:v>
                </c:pt>
                <c:pt idx="1">
                  <c:v>219</c:v>
                </c:pt>
              </c:numCache>
            </c:numRef>
          </c:val>
          <c:extLst>
            <c:ext xmlns:c16="http://schemas.microsoft.com/office/drawing/2014/chart" uri="{C3380CC4-5D6E-409C-BE32-E72D297353CC}">
              <c16:uniqueId val="{00000005-7AD1-4D87-A827-4A9D12B7A29F}"/>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2290371828521435"/>
          <c:y val="1.9575665606813984E-3"/>
          <c:w val="0.2737405949256343"/>
          <c:h val="0.108532898689916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Table!PivotTable5</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588650432276839E-4"/>
          <c:y val="0.33390239699562813"/>
          <c:w val="0.99971417957068109"/>
          <c:h val="0.64353639017041708"/>
        </c:manualLayout>
      </c:layout>
      <c:areaChart>
        <c:grouping val="standard"/>
        <c:varyColors val="0"/>
        <c:ser>
          <c:idx val="0"/>
          <c:order val="0"/>
          <c:tx>
            <c:strRef>
              <c:f>'Pivot Table'!$D$3</c:f>
              <c:strCache>
                <c:ptCount val="1"/>
                <c:pt idx="0">
                  <c:v>Total</c:v>
                </c:pt>
              </c:strCache>
            </c:strRef>
          </c:tx>
          <c:spPr>
            <a:solidFill>
              <a:schemeClr val="accent1"/>
            </a:solidFill>
            <a:ln w="25400">
              <a:noFill/>
            </a:ln>
            <a:effectLst/>
          </c:spPr>
          <c:cat>
            <c:strRef>
              <c:f>'Pivot Table'!$C$4:$C$35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Table'!$D$4:$D$35</c:f>
              <c:numCache>
                <c:formatCode>General</c:formatCode>
                <c:ptCount val="31"/>
                <c:pt idx="0">
                  <c:v>20</c:v>
                </c:pt>
                <c:pt idx="1">
                  <c:v>16</c:v>
                </c:pt>
                <c:pt idx="2">
                  <c:v>20</c:v>
                </c:pt>
                <c:pt idx="3">
                  <c:v>16</c:v>
                </c:pt>
                <c:pt idx="4">
                  <c:v>18</c:v>
                </c:pt>
                <c:pt idx="5">
                  <c:v>16</c:v>
                </c:pt>
                <c:pt idx="6">
                  <c:v>15</c:v>
                </c:pt>
                <c:pt idx="7">
                  <c:v>20</c:v>
                </c:pt>
                <c:pt idx="8">
                  <c:v>20</c:v>
                </c:pt>
                <c:pt idx="9">
                  <c:v>13</c:v>
                </c:pt>
                <c:pt idx="10">
                  <c:v>18</c:v>
                </c:pt>
                <c:pt idx="11">
                  <c:v>11</c:v>
                </c:pt>
                <c:pt idx="12">
                  <c:v>13</c:v>
                </c:pt>
                <c:pt idx="13">
                  <c:v>14</c:v>
                </c:pt>
                <c:pt idx="14">
                  <c:v>7</c:v>
                </c:pt>
                <c:pt idx="15">
                  <c:v>21</c:v>
                </c:pt>
                <c:pt idx="16">
                  <c:v>16</c:v>
                </c:pt>
                <c:pt idx="17">
                  <c:v>15</c:v>
                </c:pt>
                <c:pt idx="18">
                  <c:v>15</c:v>
                </c:pt>
                <c:pt idx="19">
                  <c:v>14</c:v>
                </c:pt>
                <c:pt idx="20">
                  <c:v>16</c:v>
                </c:pt>
                <c:pt idx="21">
                  <c:v>21</c:v>
                </c:pt>
                <c:pt idx="22">
                  <c:v>13</c:v>
                </c:pt>
                <c:pt idx="23">
                  <c:v>11</c:v>
                </c:pt>
                <c:pt idx="24">
                  <c:v>16</c:v>
                </c:pt>
                <c:pt idx="25">
                  <c:v>11</c:v>
                </c:pt>
                <c:pt idx="26">
                  <c:v>14</c:v>
                </c:pt>
                <c:pt idx="27">
                  <c:v>10</c:v>
                </c:pt>
                <c:pt idx="28">
                  <c:v>15</c:v>
                </c:pt>
                <c:pt idx="29">
                  <c:v>24</c:v>
                </c:pt>
                <c:pt idx="30">
                  <c:v>11</c:v>
                </c:pt>
              </c:numCache>
            </c:numRef>
          </c:val>
          <c:extLst>
            <c:ext xmlns:c16="http://schemas.microsoft.com/office/drawing/2014/chart" uri="{C3380CC4-5D6E-409C-BE32-E72D297353CC}">
              <c16:uniqueId val="{00000007-4F55-4B8D-BB1D-8131DFDE844D}"/>
            </c:ext>
          </c:extLst>
        </c:ser>
        <c:dLbls>
          <c:showLegendKey val="0"/>
          <c:showVal val="0"/>
          <c:showCatName val="0"/>
          <c:showSerName val="0"/>
          <c:showPercent val="0"/>
          <c:showBubbleSize val="0"/>
        </c:dLbls>
        <c:axId val="1567062272"/>
        <c:axId val="1567059392"/>
      </c:areaChart>
      <c:catAx>
        <c:axId val="1567062272"/>
        <c:scaling>
          <c:orientation val="minMax"/>
        </c:scaling>
        <c:delete val="1"/>
        <c:axPos val="b"/>
        <c:numFmt formatCode="General" sourceLinked="1"/>
        <c:majorTickMark val="out"/>
        <c:minorTickMark val="none"/>
        <c:tickLblPos val="nextTo"/>
        <c:crossAx val="1567059392"/>
        <c:crosses val="autoZero"/>
        <c:auto val="1"/>
        <c:lblAlgn val="ctr"/>
        <c:lblOffset val="100"/>
        <c:noMultiLvlLbl val="0"/>
      </c:catAx>
      <c:valAx>
        <c:axId val="156705939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5670622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Table!PivotTable6</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39623785733253464"/>
          <c:w val="1"/>
          <c:h val="0.60376214266746542"/>
        </c:manualLayout>
      </c:layout>
      <c:areaChart>
        <c:grouping val="standard"/>
        <c:varyColors val="0"/>
        <c:ser>
          <c:idx val="0"/>
          <c:order val="0"/>
          <c:tx>
            <c:strRef>
              <c:f>'Pivot Table'!$I$2</c:f>
              <c:strCache>
                <c:ptCount val="1"/>
                <c:pt idx="0">
                  <c:v>Total</c:v>
                </c:pt>
              </c:strCache>
            </c:strRef>
          </c:tx>
          <c:spPr>
            <a:solidFill>
              <a:schemeClr val="accent1"/>
            </a:solidFill>
            <a:ln w="25400">
              <a:noFill/>
            </a:ln>
            <a:effectLst/>
          </c:spPr>
          <c:cat>
            <c:strRef>
              <c:f>'Pivot Table'!$H$3:$H$34</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Table'!$I$3:$I$34</c:f>
              <c:numCache>
                <c:formatCode>0.00</c:formatCode>
                <c:ptCount val="31"/>
                <c:pt idx="0">
                  <c:v>31.5</c:v>
                </c:pt>
                <c:pt idx="1">
                  <c:v>34.25</c:v>
                </c:pt>
                <c:pt idx="2">
                  <c:v>41.1</c:v>
                </c:pt>
                <c:pt idx="3">
                  <c:v>31</c:v>
                </c:pt>
                <c:pt idx="4">
                  <c:v>33.666666666666664</c:v>
                </c:pt>
                <c:pt idx="5">
                  <c:v>34.5625</c:v>
                </c:pt>
                <c:pt idx="6">
                  <c:v>34.93333333333333</c:v>
                </c:pt>
                <c:pt idx="7">
                  <c:v>36.4</c:v>
                </c:pt>
                <c:pt idx="8">
                  <c:v>35.549999999999997</c:v>
                </c:pt>
                <c:pt idx="9">
                  <c:v>30.692307692307693</c:v>
                </c:pt>
                <c:pt idx="10">
                  <c:v>33.611111111111114</c:v>
                </c:pt>
                <c:pt idx="11">
                  <c:v>37.81818181818182</c:v>
                </c:pt>
                <c:pt idx="12">
                  <c:v>40</c:v>
                </c:pt>
                <c:pt idx="13">
                  <c:v>32</c:v>
                </c:pt>
                <c:pt idx="14">
                  <c:v>31.857142857142858</c:v>
                </c:pt>
                <c:pt idx="15">
                  <c:v>31.142857142857142</c:v>
                </c:pt>
                <c:pt idx="16">
                  <c:v>29.5</c:v>
                </c:pt>
                <c:pt idx="17">
                  <c:v>30.666666666666668</c:v>
                </c:pt>
                <c:pt idx="18">
                  <c:v>39.06666666666667</c:v>
                </c:pt>
                <c:pt idx="19">
                  <c:v>32.857142857142854</c:v>
                </c:pt>
                <c:pt idx="20">
                  <c:v>38.3125</c:v>
                </c:pt>
                <c:pt idx="21">
                  <c:v>35.80952380952381</c:v>
                </c:pt>
                <c:pt idx="22">
                  <c:v>33.153846153846153</c:v>
                </c:pt>
                <c:pt idx="23">
                  <c:v>39.18181818181818</c:v>
                </c:pt>
                <c:pt idx="24">
                  <c:v>36.3125</c:v>
                </c:pt>
                <c:pt idx="25">
                  <c:v>33</c:v>
                </c:pt>
                <c:pt idx="26">
                  <c:v>32.857142857142854</c:v>
                </c:pt>
                <c:pt idx="27">
                  <c:v>36.799999999999997</c:v>
                </c:pt>
                <c:pt idx="28">
                  <c:v>32.866666666666667</c:v>
                </c:pt>
                <c:pt idx="29">
                  <c:v>32.375</c:v>
                </c:pt>
                <c:pt idx="30">
                  <c:v>36</c:v>
                </c:pt>
              </c:numCache>
            </c:numRef>
          </c:val>
          <c:extLst>
            <c:ext xmlns:c16="http://schemas.microsoft.com/office/drawing/2014/chart" uri="{C3380CC4-5D6E-409C-BE32-E72D297353CC}">
              <c16:uniqueId val="{00000005-0BCB-4FEF-AD87-4FA5AB58FB34}"/>
            </c:ext>
          </c:extLst>
        </c:ser>
        <c:dLbls>
          <c:showLegendKey val="0"/>
          <c:showVal val="0"/>
          <c:showCatName val="0"/>
          <c:showSerName val="0"/>
          <c:showPercent val="0"/>
          <c:showBubbleSize val="0"/>
        </c:dLbls>
        <c:axId val="303044127"/>
        <c:axId val="303045087"/>
      </c:areaChart>
      <c:catAx>
        <c:axId val="303044127"/>
        <c:scaling>
          <c:orientation val="minMax"/>
        </c:scaling>
        <c:delete val="1"/>
        <c:axPos val="b"/>
        <c:numFmt formatCode="General" sourceLinked="1"/>
        <c:majorTickMark val="out"/>
        <c:minorTickMark val="none"/>
        <c:tickLblPos val="nextTo"/>
        <c:crossAx val="303045087"/>
        <c:crosses val="autoZero"/>
        <c:auto val="1"/>
        <c:lblAlgn val="ctr"/>
        <c:lblOffset val="100"/>
        <c:noMultiLvlLbl val="0"/>
      </c:catAx>
      <c:valAx>
        <c:axId val="303045087"/>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03044127"/>
        <c:crosses val="autoZero"/>
        <c:crossBetween val="midCat"/>
      </c:valAx>
      <c:spPr>
        <a:noFill/>
        <a:ln>
          <a:solidFill>
            <a:schemeClr val="bg1"/>
          </a:solid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Table!PivotTable7</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820530943086661E-4"/>
          <c:y val="0.34793180405384749"/>
          <c:w val="0.99186784987881627"/>
          <c:h val="0.65206706640939283"/>
        </c:manualLayout>
      </c:layout>
      <c:areaChart>
        <c:grouping val="standard"/>
        <c:varyColors val="0"/>
        <c:ser>
          <c:idx val="0"/>
          <c:order val="0"/>
          <c:tx>
            <c:strRef>
              <c:f>'Pivot Table'!$N$2</c:f>
              <c:strCache>
                <c:ptCount val="1"/>
                <c:pt idx="0">
                  <c:v>Total</c:v>
                </c:pt>
              </c:strCache>
            </c:strRef>
          </c:tx>
          <c:spPr>
            <a:solidFill>
              <a:schemeClr val="accent1"/>
            </a:solidFill>
            <a:ln w="25400">
              <a:noFill/>
            </a:ln>
            <a:effectLst/>
          </c:spPr>
          <c:cat>
            <c:strRef>
              <c:f>'Pivot Table'!$M$3:$M$33</c:f>
              <c:strCache>
                <c:ptCount val="30"/>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16-May</c:v>
                </c:pt>
                <c:pt idx="15">
                  <c:v>17-May</c:v>
                </c:pt>
                <c:pt idx="16">
                  <c:v>18-May</c:v>
                </c:pt>
                <c:pt idx="17">
                  <c:v>19-May</c:v>
                </c:pt>
                <c:pt idx="18">
                  <c:v>20-May</c:v>
                </c:pt>
                <c:pt idx="19">
                  <c:v>21-May</c:v>
                </c:pt>
                <c:pt idx="20">
                  <c:v>22-May</c:v>
                </c:pt>
                <c:pt idx="21">
                  <c:v>23-May</c:v>
                </c:pt>
                <c:pt idx="22">
                  <c:v>24-May</c:v>
                </c:pt>
                <c:pt idx="23">
                  <c:v>25-May</c:v>
                </c:pt>
                <c:pt idx="24">
                  <c:v>26-May</c:v>
                </c:pt>
                <c:pt idx="25">
                  <c:v>27-May</c:v>
                </c:pt>
                <c:pt idx="26">
                  <c:v>28-May</c:v>
                </c:pt>
                <c:pt idx="27">
                  <c:v>29-May</c:v>
                </c:pt>
                <c:pt idx="28">
                  <c:v>30-May</c:v>
                </c:pt>
                <c:pt idx="29">
                  <c:v>31-May</c:v>
                </c:pt>
              </c:strCache>
            </c:strRef>
          </c:cat>
          <c:val>
            <c:numRef>
              <c:f>'Pivot Table'!$N$3:$N$33</c:f>
              <c:numCache>
                <c:formatCode>0</c:formatCode>
                <c:ptCount val="30"/>
                <c:pt idx="0">
                  <c:v>11</c:v>
                </c:pt>
                <c:pt idx="1">
                  <c:v>20</c:v>
                </c:pt>
                <c:pt idx="2">
                  <c:v>30</c:v>
                </c:pt>
                <c:pt idx="3">
                  <c:v>24</c:v>
                </c:pt>
                <c:pt idx="4">
                  <c:v>22</c:v>
                </c:pt>
                <c:pt idx="5">
                  <c:v>21</c:v>
                </c:pt>
                <c:pt idx="6">
                  <c:v>24</c:v>
                </c:pt>
                <c:pt idx="7">
                  <c:v>18</c:v>
                </c:pt>
                <c:pt idx="8">
                  <c:v>25</c:v>
                </c:pt>
                <c:pt idx="9">
                  <c:v>16</c:v>
                </c:pt>
                <c:pt idx="10">
                  <c:v>22</c:v>
                </c:pt>
                <c:pt idx="11">
                  <c:v>13</c:v>
                </c:pt>
                <c:pt idx="12">
                  <c:v>18</c:v>
                </c:pt>
                <c:pt idx="13">
                  <c:v>10</c:v>
                </c:pt>
                <c:pt idx="14">
                  <c:v>67</c:v>
                </c:pt>
                <c:pt idx="15">
                  <c:v>62</c:v>
                </c:pt>
                <c:pt idx="16">
                  <c:v>11</c:v>
                </c:pt>
                <c:pt idx="17">
                  <c:v>9</c:v>
                </c:pt>
                <c:pt idx="18">
                  <c:v>30</c:v>
                </c:pt>
                <c:pt idx="19">
                  <c:v>23</c:v>
                </c:pt>
                <c:pt idx="20">
                  <c:v>22</c:v>
                </c:pt>
                <c:pt idx="21">
                  <c:v>28</c:v>
                </c:pt>
                <c:pt idx="22">
                  <c:v>13</c:v>
                </c:pt>
                <c:pt idx="23">
                  <c:v>12</c:v>
                </c:pt>
                <c:pt idx="24">
                  <c:v>22</c:v>
                </c:pt>
                <c:pt idx="25">
                  <c:v>16</c:v>
                </c:pt>
                <c:pt idx="26">
                  <c:v>19</c:v>
                </c:pt>
                <c:pt idx="27">
                  <c:v>12</c:v>
                </c:pt>
                <c:pt idx="28">
                  <c:v>16</c:v>
                </c:pt>
                <c:pt idx="29">
                  <c:v>25</c:v>
                </c:pt>
              </c:numCache>
            </c:numRef>
          </c:val>
          <c:extLst>
            <c:ext xmlns:c16="http://schemas.microsoft.com/office/drawing/2014/chart" uri="{C3380CC4-5D6E-409C-BE32-E72D297353CC}">
              <c16:uniqueId val="{00000005-4A31-471C-8C75-9417F8D78C5E}"/>
            </c:ext>
          </c:extLst>
        </c:ser>
        <c:dLbls>
          <c:showLegendKey val="0"/>
          <c:showVal val="0"/>
          <c:showCatName val="0"/>
          <c:showSerName val="0"/>
          <c:showPercent val="0"/>
          <c:showBubbleSize val="0"/>
        </c:dLbls>
        <c:axId val="466349919"/>
        <c:axId val="466354719"/>
      </c:areaChart>
      <c:catAx>
        <c:axId val="466349919"/>
        <c:scaling>
          <c:orientation val="minMax"/>
        </c:scaling>
        <c:delete val="1"/>
        <c:axPos val="b"/>
        <c:numFmt formatCode="General" sourceLinked="1"/>
        <c:majorTickMark val="out"/>
        <c:minorTickMark val="none"/>
        <c:tickLblPos val="nextTo"/>
        <c:crossAx val="466354719"/>
        <c:crosses val="autoZero"/>
        <c:auto val="1"/>
        <c:lblAlgn val="ctr"/>
        <c:lblOffset val="100"/>
        <c:noMultiLvlLbl val="0"/>
      </c:catAx>
      <c:valAx>
        <c:axId val="466354719"/>
        <c:scaling>
          <c:orientation val="minMax"/>
        </c:scaling>
        <c:delete val="1"/>
        <c:axPos val="l"/>
        <c:numFmt formatCode="0" sourceLinked="1"/>
        <c:majorTickMark val="none"/>
        <c:minorTickMark val="none"/>
        <c:tickLblPos val="nextTo"/>
        <c:crossAx val="46634991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Table!PivotTable8</c:name>
    <c:fmtId val="30"/>
  </c:pivotSource>
  <c:chart>
    <c:autoTitleDeleted val="1"/>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30903167253465441"/>
          <c:y val="0.10482539256966321"/>
          <c:w val="0.40205755552226363"/>
          <c:h val="0.7048174711018762"/>
        </c:manualLayout>
      </c:layout>
      <c:pieChart>
        <c:varyColors val="1"/>
        <c:ser>
          <c:idx val="0"/>
          <c:order val="0"/>
          <c:tx>
            <c:strRef>
              <c:f>'Pivot Table'!$Q$2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3A0-4B00-BFD0-A99EAEF4F2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3A0-4B00-BFD0-A99EAEF4F23B}"/>
              </c:ext>
            </c:extLst>
          </c:dPt>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Table'!$P$3:$P$5</c:f>
              <c:strCache>
                <c:ptCount val="2"/>
                <c:pt idx="0">
                  <c:v>Delay</c:v>
                </c:pt>
                <c:pt idx="1">
                  <c:v>OnTime</c:v>
                </c:pt>
              </c:strCache>
            </c:strRef>
          </c:cat>
          <c:val>
            <c:numRef>
              <c:f>'Pivot Table'!$Q$3:$Q$5</c:f>
              <c:numCache>
                <c:formatCode>0</c:formatCode>
                <c:ptCount val="2"/>
                <c:pt idx="0">
                  <c:v>267</c:v>
                </c:pt>
                <c:pt idx="1">
                  <c:v>213</c:v>
                </c:pt>
              </c:numCache>
            </c:numRef>
          </c:val>
          <c:extLst>
            <c:ext xmlns:c16="http://schemas.microsoft.com/office/drawing/2014/chart" uri="{C3380CC4-5D6E-409C-BE32-E72D297353CC}">
              <c16:uniqueId val="{00000009-FA48-44C5-8FFD-79B908846A4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23884453766177519"/>
          <c:y val="5.2080603981451579E-3"/>
          <c:w val="0.54572146703284674"/>
          <c:h val="0.125161019066363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Table!PivotTable9</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1">
                <a:shade val="15000"/>
                <a:alpha val="94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935958005249342"/>
          <c:y val="2.9496290760974781E-2"/>
          <c:w val="0.77610916025132981"/>
          <c:h val="0.95925585456121243"/>
        </c:manualLayout>
      </c:layout>
      <c:barChart>
        <c:barDir val="bar"/>
        <c:grouping val="clustered"/>
        <c:varyColors val="0"/>
        <c:ser>
          <c:idx val="0"/>
          <c:order val="0"/>
          <c:tx>
            <c:strRef>
              <c:f>'Pivot Table'!$U$2</c:f>
              <c:strCache>
                <c:ptCount val="1"/>
                <c:pt idx="0">
                  <c:v>Total</c:v>
                </c:pt>
              </c:strCache>
            </c:strRef>
          </c:tx>
          <c:spPr>
            <a:solidFill>
              <a:schemeClr val="accent1"/>
            </a:solidFill>
            <a:ln>
              <a:solidFill>
                <a:schemeClr val="accent1">
                  <a:shade val="15000"/>
                  <a:alpha val="94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Table'!$T$3:$T$11</c:f>
              <c:strCache>
                <c:ptCount val="8"/>
                <c:pt idx="0">
                  <c:v>Renal</c:v>
                </c:pt>
                <c:pt idx="1">
                  <c:v>Neurology</c:v>
                </c:pt>
                <c:pt idx="2">
                  <c:v>Cardiology</c:v>
                </c:pt>
                <c:pt idx="3">
                  <c:v>Gastroenterology</c:v>
                </c:pt>
                <c:pt idx="4">
                  <c:v>Physiotherapy</c:v>
                </c:pt>
                <c:pt idx="5">
                  <c:v>Orthopedics</c:v>
                </c:pt>
                <c:pt idx="6">
                  <c:v>General Practice</c:v>
                </c:pt>
                <c:pt idx="7">
                  <c:v>None</c:v>
                </c:pt>
              </c:strCache>
            </c:strRef>
          </c:cat>
          <c:val>
            <c:numRef>
              <c:f>'Pivot Table'!$U$3:$U$11</c:f>
              <c:numCache>
                <c:formatCode>0</c:formatCode>
                <c:ptCount val="8"/>
                <c:pt idx="0">
                  <c:v>6</c:v>
                </c:pt>
                <c:pt idx="1">
                  <c:v>11</c:v>
                </c:pt>
                <c:pt idx="2">
                  <c:v>12</c:v>
                </c:pt>
                <c:pt idx="3">
                  <c:v>12</c:v>
                </c:pt>
                <c:pt idx="4">
                  <c:v>20</c:v>
                </c:pt>
                <c:pt idx="5">
                  <c:v>35</c:v>
                </c:pt>
                <c:pt idx="6">
                  <c:v>93</c:v>
                </c:pt>
                <c:pt idx="7">
                  <c:v>291</c:v>
                </c:pt>
              </c:numCache>
            </c:numRef>
          </c:val>
          <c:extLst>
            <c:ext xmlns:c16="http://schemas.microsoft.com/office/drawing/2014/chart" uri="{C3380CC4-5D6E-409C-BE32-E72D297353CC}">
              <c16:uniqueId val="{00000006-8915-42B4-BA69-F7C8CB8D88F7}"/>
            </c:ext>
          </c:extLst>
        </c:ser>
        <c:dLbls>
          <c:showLegendKey val="0"/>
          <c:showVal val="0"/>
          <c:showCatName val="0"/>
          <c:showSerName val="0"/>
          <c:showPercent val="0"/>
          <c:showBubbleSize val="0"/>
        </c:dLbls>
        <c:gapWidth val="182"/>
        <c:axId val="69833839"/>
        <c:axId val="69832879"/>
      </c:barChart>
      <c:catAx>
        <c:axId val="69833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32879"/>
        <c:crosses val="autoZero"/>
        <c:auto val="1"/>
        <c:lblAlgn val="ctr"/>
        <c:lblOffset val="100"/>
        <c:noMultiLvlLbl val="0"/>
      </c:catAx>
      <c:valAx>
        <c:axId val="69832879"/>
        <c:scaling>
          <c:orientation val="minMax"/>
        </c:scaling>
        <c:delete val="1"/>
        <c:axPos val="b"/>
        <c:numFmt formatCode="0" sourceLinked="1"/>
        <c:majorTickMark val="none"/>
        <c:minorTickMark val="none"/>
        <c:tickLblPos val="nextTo"/>
        <c:crossAx val="6983383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Table!PivotTable13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93888888888888888"/>
          <c:h val="0.75493432656609205"/>
        </c:manualLayout>
      </c:layout>
      <c:barChart>
        <c:barDir val="col"/>
        <c:grouping val="clustered"/>
        <c:varyColors val="0"/>
        <c:ser>
          <c:idx val="0"/>
          <c:order val="0"/>
          <c:tx>
            <c:strRef>
              <c:f>'Pivot Table'!$B$54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Table'!$A$55:$A$63</c:f>
              <c:strCache>
                <c:ptCount val="8"/>
                <c:pt idx="0">
                  <c:v>0-9</c:v>
                </c:pt>
                <c:pt idx="1">
                  <c:v>10-19</c:v>
                </c:pt>
                <c:pt idx="2">
                  <c:v>20-29</c:v>
                </c:pt>
                <c:pt idx="3">
                  <c:v>30-39</c:v>
                </c:pt>
                <c:pt idx="4">
                  <c:v>40-49</c:v>
                </c:pt>
                <c:pt idx="5">
                  <c:v>50-59</c:v>
                </c:pt>
                <c:pt idx="6">
                  <c:v>60-69</c:v>
                </c:pt>
                <c:pt idx="7">
                  <c:v>70-79</c:v>
                </c:pt>
              </c:strCache>
            </c:strRef>
          </c:cat>
          <c:val>
            <c:numRef>
              <c:f>'Pivot Table'!$B$55:$B$63</c:f>
              <c:numCache>
                <c:formatCode>0</c:formatCode>
                <c:ptCount val="8"/>
                <c:pt idx="0">
                  <c:v>63</c:v>
                </c:pt>
                <c:pt idx="1">
                  <c:v>49</c:v>
                </c:pt>
                <c:pt idx="2">
                  <c:v>57</c:v>
                </c:pt>
                <c:pt idx="3">
                  <c:v>73</c:v>
                </c:pt>
                <c:pt idx="4">
                  <c:v>63</c:v>
                </c:pt>
                <c:pt idx="5">
                  <c:v>60</c:v>
                </c:pt>
                <c:pt idx="6">
                  <c:v>57</c:v>
                </c:pt>
                <c:pt idx="7">
                  <c:v>58</c:v>
                </c:pt>
              </c:numCache>
            </c:numRef>
          </c:val>
          <c:extLst>
            <c:ext xmlns:c16="http://schemas.microsoft.com/office/drawing/2014/chart" uri="{C3380CC4-5D6E-409C-BE32-E72D297353CC}">
              <c16:uniqueId val="{00000005-978A-4604-8CC0-7242479FDEB4}"/>
            </c:ext>
          </c:extLst>
        </c:ser>
        <c:dLbls>
          <c:showLegendKey val="0"/>
          <c:showVal val="0"/>
          <c:showCatName val="0"/>
          <c:showSerName val="0"/>
          <c:showPercent val="0"/>
          <c:showBubbleSize val="0"/>
        </c:dLbls>
        <c:gapWidth val="219"/>
        <c:overlap val="-27"/>
        <c:axId val="1310571647"/>
        <c:axId val="1310569247"/>
      </c:barChart>
      <c:catAx>
        <c:axId val="1310571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569247"/>
        <c:crosses val="autoZero"/>
        <c:auto val="1"/>
        <c:lblAlgn val="ctr"/>
        <c:lblOffset val="100"/>
        <c:noMultiLvlLbl val="0"/>
      </c:catAx>
      <c:valAx>
        <c:axId val="1310569247"/>
        <c:scaling>
          <c:orientation val="minMax"/>
        </c:scaling>
        <c:delete val="1"/>
        <c:axPos val="l"/>
        <c:numFmt formatCode="0" sourceLinked="1"/>
        <c:majorTickMark val="none"/>
        <c:minorTickMark val="none"/>
        <c:tickLblPos val="nextTo"/>
        <c:crossAx val="13105716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Table!PivotTable15</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17676782789116122"/>
          <c:y val="0.12393686122575676"/>
          <c:w val="0.33206126053561952"/>
          <c:h val="0.63595658848486958"/>
        </c:manualLayout>
      </c:layout>
      <c:pieChart>
        <c:varyColors val="1"/>
        <c:ser>
          <c:idx val="0"/>
          <c:order val="0"/>
          <c:tx>
            <c:strRef>
              <c:f>'Pivot Table'!$L$54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D97-430D-8ADB-9D5F3A0017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D97-430D-8ADB-9D5F3A00174A}"/>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Table'!$K$55:$K$57</c:f>
              <c:strCache>
                <c:ptCount val="2"/>
                <c:pt idx="0">
                  <c:v>Female</c:v>
                </c:pt>
                <c:pt idx="1">
                  <c:v>Male</c:v>
                </c:pt>
              </c:strCache>
            </c:strRef>
          </c:cat>
          <c:val>
            <c:numRef>
              <c:f>'Pivot Table'!$L$55:$L$57</c:f>
              <c:numCache>
                <c:formatCode>0</c:formatCode>
                <c:ptCount val="2"/>
                <c:pt idx="0">
                  <c:v>261</c:v>
                </c:pt>
                <c:pt idx="1">
                  <c:v>219</c:v>
                </c:pt>
              </c:numCache>
            </c:numRef>
          </c:val>
          <c:extLst>
            <c:ext xmlns:c16="http://schemas.microsoft.com/office/drawing/2014/chart" uri="{C3380CC4-5D6E-409C-BE32-E72D297353CC}">
              <c16:uniqueId val="{00000009-52BB-4483-BEA5-92EF3061F8D0}"/>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14667488990555272"/>
          <c:y val="4.7180824244956919E-2"/>
          <c:w val="0.35610256090984821"/>
          <c:h val="0.108532898689916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Table!PivotTable7</c:name>
    <c:fmtId val="2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Table'!$N$2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Table'!$M$3:$M$33</c:f>
              <c:strCache>
                <c:ptCount val="30"/>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16-May</c:v>
                </c:pt>
                <c:pt idx="15">
                  <c:v>17-May</c:v>
                </c:pt>
                <c:pt idx="16">
                  <c:v>18-May</c:v>
                </c:pt>
                <c:pt idx="17">
                  <c:v>19-May</c:v>
                </c:pt>
                <c:pt idx="18">
                  <c:v>20-May</c:v>
                </c:pt>
                <c:pt idx="19">
                  <c:v>21-May</c:v>
                </c:pt>
                <c:pt idx="20">
                  <c:v>22-May</c:v>
                </c:pt>
                <c:pt idx="21">
                  <c:v>23-May</c:v>
                </c:pt>
                <c:pt idx="22">
                  <c:v>24-May</c:v>
                </c:pt>
                <c:pt idx="23">
                  <c:v>25-May</c:v>
                </c:pt>
                <c:pt idx="24">
                  <c:v>26-May</c:v>
                </c:pt>
                <c:pt idx="25">
                  <c:v>27-May</c:v>
                </c:pt>
                <c:pt idx="26">
                  <c:v>28-May</c:v>
                </c:pt>
                <c:pt idx="27">
                  <c:v>29-May</c:v>
                </c:pt>
                <c:pt idx="28">
                  <c:v>30-May</c:v>
                </c:pt>
                <c:pt idx="29">
                  <c:v>31-May</c:v>
                </c:pt>
              </c:strCache>
            </c:strRef>
          </c:cat>
          <c:val>
            <c:numRef>
              <c:f>'Pivot Table'!$N$3:$N$33</c:f>
              <c:numCache>
                <c:formatCode>0</c:formatCode>
                <c:ptCount val="30"/>
                <c:pt idx="0">
                  <c:v>11</c:v>
                </c:pt>
                <c:pt idx="1">
                  <c:v>20</c:v>
                </c:pt>
                <c:pt idx="2">
                  <c:v>30</c:v>
                </c:pt>
                <c:pt idx="3">
                  <c:v>24</c:v>
                </c:pt>
                <c:pt idx="4">
                  <c:v>22</c:v>
                </c:pt>
                <c:pt idx="5">
                  <c:v>21</c:v>
                </c:pt>
                <c:pt idx="6">
                  <c:v>24</c:v>
                </c:pt>
                <c:pt idx="7">
                  <c:v>18</c:v>
                </c:pt>
                <c:pt idx="8">
                  <c:v>25</c:v>
                </c:pt>
                <c:pt idx="9">
                  <c:v>16</c:v>
                </c:pt>
                <c:pt idx="10">
                  <c:v>22</c:v>
                </c:pt>
                <c:pt idx="11">
                  <c:v>13</c:v>
                </c:pt>
                <c:pt idx="12">
                  <c:v>18</c:v>
                </c:pt>
                <c:pt idx="13">
                  <c:v>10</c:v>
                </c:pt>
                <c:pt idx="14">
                  <c:v>67</c:v>
                </c:pt>
                <c:pt idx="15">
                  <c:v>62</c:v>
                </c:pt>
                <c:pt idx="16">
                  <c:v>11</c:v>
                </c:pt>
                <c:pt idx="17">
                  <c:v>9</c:v>
                </c:pt>
                <c:pt idx="18">
                  <c:v>30</c:v>
                </c:pt>
                <c:pt idx="19">
                  <c:v>23</c:v>
                </c:pt>
                <c:pt idx="20">
                  <c:v>22</c:v>
                </c:pt>
                <c:pt idx="21">
                  <c:v>28</c:v>
                </c:pt>
                <c:pt idx="22">
                  <c:v>13</c:v>
                </c:pt>
                <c:pt idx="23">
                  <c:v>12</c:v>
                </c:pt>
                <c:pt idx="24">
                  <c:v>22</c:v>
                </c:pt>
                <c:pt idx="25">
                  <c:v>16</c:v>
                </c:pt>
                <c:pt idx="26">
                  <c:v>19</c:v>
                </c:pt>
                <c:pt idx="27">
                  <c:v>12</c:v>
                </c:pt>
                <c:pt idx="28">
                  <c:v>16</c:v>
                </c:pt>
                <c:pt idx="29">
                  <c:v>25</c:v>
                </c:pt>
              </c:numCache>
            </c:numRef>
          </c:val>
          <c:extLst>
            <c:ext xmlns:c16="http://schemas.microsoft.com/office/drawing/2014/chart" uri="{C3380CC4-5D6E-409C-BE32-E72D297353CC}">
              <c16:uniqueId val="{00000005-88E3-4DFE-A283-D03F8820A2D9}"/>
            </c:ext>
          </c:extLst>
        </c:ser>
        <c:dLbls>
          <c:showLegendKey val="0"/>
          <c:showVal val="0"/>
          <c:showCatName val="0"/>
          <c:showSerName val="0"/>
          <c:showPercent val="0"/>
          <c:showBubbleSize val="0"/>
        </c:dLbls>
        <c:axId val="466349919"/>
        <c:axId val="466354719"/>
      </c:areaChart>
      <c:catAx>
        <c:axId val="466349919"/>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354719"/>
        <c:crosses val="autoZero"/>
        <c:auto val="1"/>
        <c:lblAlgn val="ctr"/>
        <c:lblOffset val="100"/>
        <c:noMultiLvlLbl val="0"/>
      </c:catAx>
      <c:valAx>
        <c:axId val="466354719"/>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634991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Table!PivotTable6</c:name>
    <c:fmtId val="1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666666666666666E-2"/>
          <c:y val="0"/>
          <c:w val="0.96666666666666667"/>
          <c:h val="0.85454505686789151"/>
        </c:manualLayout>
      </c:layout>
      <c:areaChart>
        <c:grouping val="standard"/>
        <c:varyColors val="0"/>
        <c:ser>
          <c:idx val="0"/>
          <c:order val="0"/>
          <c:tx>
            <c:strRef>
              <c:f>'Pivot Table'!$I$2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Table'!$H$3:$H$34</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Table'!$I$3:$I$34</c:f>
              <c:numCache>
                <c:formatCode>0.00</c:formatCode>
                <c:ptCount val="31"/>
                <c:pt idx="0">
                  <c:v>31.5</c:v>
                </c:pt>
                <c:pt idx="1">
                  <c:v>34.25</c:v>
                </c:pt>
                <c:pt idx="2">
                  <c:v>41.1</c:v>
                </c:pt>
                <c:pt idx="3">
                  <c:v>31</c:v>
                </c:pt>
                <c:pt idx="4">
                  <c:v>33.666666666666664</c:v>
                </c:pt>
                <c:pt idx="5">
                  <c:v>34.5625</c:v>
                </c:pt>
                <c:pt idx="6">
                  <c:v>34.93333333333333</c:v>
                </c:pt>
                <c:pt idx="7">
                  <c:v>36.4</c:v>
                </c:pt>
                <c:pt idx="8">
                  <c:v>35.549999999999997</c:v>
                </c:pt>
                <c:pt idx="9">
                  <c:v>30.692307692307693</c:v>
                </c:pt>
                <c:pt idx="10">
                  <c:v>33.611111111111114</c:v>
                </c:pt>
                <c:pt idx="11">
                  <c:v>37.81818181818182</c:v>
                </c:pt>
                <c:pt idx="12">
                  <c:v>40</c:v>
                </c:pt>
                <c:pt idx="13">
                  <c:v>32</c:v>
                </c:pt>
                <c:pt idx="14">
                  <c:v>31.857142857142858</c:v>
                </c:pt>
                <c:pt idx="15">
                  <c:v>31.142857142857142</c:v>
                </c:pt>
                <c:pt idx="16">
                  <c:v>29.5</c:v>
                </c:pt>
                <c:pt idx="17">
                  <c:v>30.666666666666668</c:v>
                </c:pt>
                <c:pt idx="18">
                  <c:v>39.06666666666667</c:v>
                </c:pt>
                <c:pt idx="19">
                  <c:v>32.857142857142854</c:v>
                </c:pt>
                <c:pt idx="20">
                  <c:v>38.3125</c:v>
                </c:pt>
                <c:pt idx="21">
                  <c:v>35.80952380952381</c:v>
                </c:pt>
                <c:pt idx="22">
                  <c:v>33.153846153846153</c:v>
                </c:pt>
                <c:pt idx="23">
                  <c:v>39.18181818181818</c:v>
                </c:pt>
                <c:pt idx="24">
                  <c:v>36.3125</c:v>
                </c:pt>
                <c:pt idx="25">
                  <c:v>33</c:v>
                </c:pt>
                <c:pt idx="26">
                  <c:v>32.857142857142854</c:v>
                </c:pt>
                <c:pt idx="27">
                  <c:v>36.799999999999997</c:v>
                </c:pt>
                <c:pt idx="28">
                  <c:v>32.866666666666667</c:v>
                </c:pt>
                <c:pt idx="29">
                  <c:v>32.375</c:v>
                </c:pt>
                <c:pt idx="30">
                  <c:v>36</c:v>
                </c:pt>
              </c:numCache>
            </c:numRef>
          </c:val>
          <c:extLst>
            <c:ext xmlns:c16="http://schemas.microsoft.com/office/drawing/2014/chart" uri="{C3380CC4-5D6E-409C-BE32-E72D297353CC}">
              <c16:uniqueId val="{00000007-342A-4135-9230-8C07DB47B6C0}"/>
            </c:ext>
          </c:extLst>
        </c:ser>
        <c:dLbls>
          <c:showLegendKey val="0"/>
          <c:showVal val="0"/>
          <c:showCatName val="0"/>
          <c:showSerName val="0"/>
          <c:showPercent val="0"/>
          <c:showBubbleSize val="0"/>
        </c:dLbls>
        <c:axId val="303044127"/>
        <c:axId val="303045087"/>
      </c:areaChart>
      <c:catAx>
        <c:axId val="303044127"/>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3045087"/>
        <c:crosses val="autoZero"/>
        <c:auto val="1"/>
        <c:lblAlgn val="ctr"/>
        <c:lblOffset val="100"/>
        <c:noMultiLvlLbl val="0"/>
      </c:catAx>
      <c:valAx>
        <c:axId val="30304508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0304412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(Hospital).xlsm]Pivot Table!PivotTable5</c:name>
    <c:fmtId val="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Table'!$D$3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25400">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Table'!$C$4:$C$35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'Pivot Table'!$D$4:$D$35</c:f>
              <c:numCache>
                <c:formatCode>General</c:formatCode>
                <c:ptCount val="31"/>
                <c:pt idx="0">
                  <c:v>20</c:v>
                </c:pt>
                <c:pt idx="1">
                  <c:v>16</c:v>
                </c:pt>
                <c:pt idx="2">
                  <c:v>20</c:v>
                </c:pt>
                <c:pt idx="3">
                  <c:v>16</c:v>
                </c:pt>
                <c:pt idx="4">
                  <c:v>18</c:v>
                </c:pt>
                <c:pt idx="5">
                  <c:v>16</c:v>
                </c:pt>
                <c:pt idx="6">
                  <c:v>15</c:v>
                </c:pt>
                <c:pt idx="7">
                  <c:v>20</c:v>
                </c:pt>
                <c:pt idx="8">
                  <c:v>20</c:v>
                </c:pt>
                <c:pt idx="9">
                  <c:v>13</c:v>
                </c:pt>
                <c:pt idx="10">
                  <c:v>18</c:v>
                </c:pt>
                <c:pt idx="11">
                  <c:v>11</c:v>
                </c:pt>
                <c:pt idx="12">
                  <c:v>13</c:v>
                </c:pt>
                <c:pt idx="13">
                  <c:v>14</c:v>
                </c:pt>
                <c:pt idx="14">
                  <c:v>7</c:v>
                </c:pt>
                <c:pt idx="15">
                  <c:v>21</c:v>
                </c:pt>
                <c:pt idx="16">
                  <c:v>16</c:v>
                </c:pt>
                <c:pt idx="17">
                  <c:v>15</c:v>
                </c:pt>
                <c:pt idx="18">
                  <c:v>15</c:v>
                </c:pt>
                <c:pt idx="19">
                  <c:v>14</c:v>
                </c:pt>
                <c:pt idx="20">
                  <c:v>16</c:v>
                </c:pt>
                <c:pt idx="21">
                  <c:v>21</c:v>
                </c:pt>
                <c:pt idx="22">
                  <c:v>13</c:v>
                </c:pt>
                <c:pt idx="23">
                  <c:v>11</c:v>
                </c:pt>
                <c:pt idx="24">
                  <c:v>16</c:v>
                </c:pt>
                <c:pt idx="25">
                  <c:v>11</c:v>
                </c:pt>
                <c:pt idx="26">
                  <c:v>14</c:v>
                </c:pt>
                <c:pt idx="27">
                  <c:v>10</c:v>
                </c:pt>
                <c:pt idx="28">
                  <c:v>15</c:v>
                </c:pt>
                <c:pt idx="29">
                  <c:v>24</c:v>
                </c:pt>
                <c:pt idx="30">
                  <c:v>11</c:v>
                </c:pt>
              </c:numCache>
            </c:numRef>
          </c:val>
          <c:extLst>
            <c:ext xmlns:c16="http://schemas.microsoft.com/office/drawing/2014/chart" uri="{C3380CC4-5D6E-409C-BE32-E72D297353CC}">
              <c16:uniqueId val="{00000006-59B9-427D-945D-E8F7562FF7C0}"/>
            </c:ext>
          </c:extLst>
        </c:ser>
        <c:dLbls>
          <c:showLegendKey val="0"/>
          <c:showVal val="0"/>
          <c:showCatName val="0"/>
          <c:showSerName val="0"/>
          <c:showPercent val="0"/>
          <c:showBubbleSize val="0"/>
        </c:dLbls>
        <c:axId val="1567062272"/>
        <c:axId val="1567059392"/>
      </c:areaChart>
      <c:catAx>
        <c:axId val="1567062272"/>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7059392"/>
        <c:crosses val="autoZero"/>
        <c:auto val="1"/>
        <c:lblAlgn val="ctr"/>
        <c:lblOffset val="100"/>
        <c:noMultiLvlLbl val="0"/>
      </c:catAx>
      <c:valAx>
        <c:axId val="15670593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706227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ily ER No. Of Patient'!A1"/><Relationship Id="rId13" Type="http://schemas.openxmlformats.org/officeDocument/2006/relationships/image" Target="../media/image9.svg"/><Relationship Id="rId18" Type="http://schemas.openxmlformats.org/officeDocument/2006/relationships/image" Target="../media/image10.emf"/><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8.png"/><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20" Type="http://schemas.openxmlformats.org/officeDocument/2006/relationships/chart" Target="../charts/chart9.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svg"/><Relationship Id="rId15" Type="http://schemas.openxmlformats.org/officeDocument/2006/relationships/chart" Target="../charts/chart5.xml"/><Relationship Id="rId10" Type="http://schemas.openxmlformats.org/officeDocument/2006/relationships/hyperlink" Target="#'Avg Patient Waittime'!A1"/><Relationship Id="rId19"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3.xml"/><Relationship Id="rId14" Type="http://schemas.openxmlformats.org/officeDocument/2006/relationships/hyperlink" Target="#'Patient Satification Score'!A1"/></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Dashboard!A1"/><Relationship Id="rId1" Type="http://schemas.openxmlformats.org/officeDocument/2006/relationships/chart" Target="../charts/chart10.xml"/><Relationship Id="rId4" Type="http://schemas.openxmlformats.org/officeDocument/2006/relationships/image" Target="../media/image13.svg"/></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4.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Dashboard!A1"/><Relationship Id="rId1" Type="http://schemas.openxmlformats.org/officeDocument/2006/relationships/chart" Target="../charts/chart12.xml"/><Relationship Id="rId4" Type="http://schemas.openxmlformats.org/officeDocument/2006/relationships/image" Target="../media/image16.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xdr:col>
      <xdr:colOff>843936</xdr:colOff>
      <xdr:row>47</xdr:row>
      <xdr:rowOff>65549</xdr:rowOff>
    </xdr:from>
    <xdr:to>
      <xdr:col>3</xdr:col>
      <xdr:colOff>1671484</xdr:colOff>
      <xdr:row>50</xdr:row>
      <xdr:rowOff>28775</xdr:rowOff>
    </xdr:to>
    <xdr:graphicFrame macro="">
      <xdr:nvGraphicFramePr>
        <xdr:cNvPr id="14" name="Chart 13">
          <a:extLst>
            <a:ext uri="{FF2B5EF4-FFF2-40B4-BE49-F238E27FC236}">
              <a16:creationId xmlns:a16="http://schemas.microsoft.com/office/drawing/2014/main" id="{A67A4BBA-7367-7641-2FB2-E547AB1B6D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3933</xdr:colOff>
      <xdr:row>48</xdr:row>
      <xdr:rowOff>19337</xdr:rowOff>
    </xdr:from>
    <xdr:to>
      <xdr:col>8</xdr:col>
      <xdr:colOff>13766</xdr:colOff>
      <xdr:row>50</xdr:row>
      <xdr:rowOff>114710</xdr:rowOff>
    </xdr:to>
    <mc:AlternateContent xmlns:mc="http://schemas.openxmlformats.org/markup-compatibility/2006" xmlns:a14="http://schemas.microsoft.com/office/drawing/2010/main">
      <mc:Choice Requires="a14">
        <xdr:graphicFrame macro="">
          <xdr:nvGraphicFramePr>
            <xdr:cNvPr id="16" name="Date (Year)">
              <a:extLst>
                <a:ext uri="{FF2B5EF4-FFF2-40B4-BE49-F238E27FC236}">
                  <a16:creationId xmlns:a16="http://schemas.microsoft.com/office/drawing/2014/main" id="{4576565B-0245-5985-CAB2-11F3E009C557}"/>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5944256" y="8671724"/>
              <a:ext cx="1828800" cy="4558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475226</xdr:colOff>
      <xdr:row>46</xdr:row>
      <xdr:rowOff>65548</xdr:rowOff>
    </xdr:from>
    <xdr:to>
      <xdr:col>13</xdr:col>
      <xdr:colOff>401484</xdr:colOff>
      <xdr:row>68</xdr:row>
      <xdr:rowOff>49162</xdr:rowOff>
    </xdr:to>
    <xdr:graphicFrame macro="">
      <xdr:nvGraphicFramePr>
        <xdr:cNvPr id="17" name="Chart 16">
          <a:extLst>
            <a:ext uri="{FF2B5EF4-FFF2-40B4-BE49-F238E27FC236}">
              <a16:creationId xmlns:a16="http://schemas.microsoft.com/office/drawing/2014/main" id="{32315FF1-DA01-A709-4C01-077446392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43320</xdr:colOff>
      <xdr:row>0</xdr:row>
      <xdr:rowOff>67597</xdr:rowOff>
    </xdr:from>
    <xdr:to>
      <xdr:col>6</xdr:col>
      <xdr:colOff>301416</xdr:colOff>
      <xdr:row>3</xdr:row>
      <xdr:rowOff>49162</xdr:rowOff>
    </xdr:to>
    <xdr:sp macro="" textlink="">
      <xdr:nvSpPr>
        <xdr:cNvPr id="2" name="Rectangle: Rounded Corners 1">
          <a:extLst>
            <a:ext uri="{FF2B5EF4-FFF2-40B4-BE49-F238E27FC236}">
              <a16:creationId xmlns:a16="http://schemas.microsoft.com/office/drawing/2014/main" id="{A2DE066B-B874-66D0-34FC-CE6718544B63}"/>
            </a:ext>
          </a:extLst>
        </xdr:cNvPr>
        <xdr:cNvSpPr/>
      </xdr:nvSpPr>
      <xdr:spPr>
        <a:xfrm>
          <a:off x="43320" y="67597"/>
          <a:ext cx="3930686" cy="524958"/>
        </a:xfrm>
        <a:prstGeom prst="roundRect">
          <a:avLst>
            <a:gd name="adj" fmla="val 833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Hossddd</a:t>
          </a:r>
        </a:p>
      </xdr:txBody>
    </xdr:sp>
    <xdr:clientData/>
  </xdr:twoCellAnchor>
  <xdr:twoCellAnchor>
    <xdr:from>
      <xdr:col>6</xdr:col>
      <xdr:colOff>337985</xdr:colOff>
      <xdr:row>0</xdr:row>
      <xdr:rowOff>79887</xdr:rowOff>
    </xdr:from>
    <xdr:to>
      <xdr:col>9</xdr:col>
      <xdr:colOff>356419</xdr:colOff>
      <xdr:row>3</xdr:row>
      <xdr:rowOff>49161</xdr:rowOff>
    </xdr:to>
    <xdr:sp macro="" textlink="">
      <xdr:nvSpPr>
        <xdr:cNvPr id="3" name="Rectangle: Rounded Corners 2">
          <a:extLst>
            <a:ext uri="{FF2B5EF4-FFF2-40B4-BE49-F238E27FC236}">
              <a16:creationId xmlns:a16="http://schemas.microsoft.com/office/drawing/2014/main" id="{EFB0424C-4AA6-190D-C8E1-4DFF63F13337}"/>
            </a:ext>
          </a:extLst>
        </xdr:cNvPr>
        <xdr:cNvSpPr/>
      </xdr:nvSpPr>
      <xdr:spPr>
        <a:xfrm>
          <a:off x="4010575" y="79887"/>
          <a:ext cx="1854729" cy="512667"/>
        </a:xfrm>
        <a:prstGeom prst="roundRect">
          <a:avLst>
            <a:gd name="adj" fmla="val 935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424016</xdr:colOff>
      <xdr:row>0</xdr:row>
      <xdr:rowOff>67598</xdr:rowOff>
    </xdr:from>
    <xdr:to>
      <xdr:col>13</xdr:col>
      <xdr:colOff>405580</xdr:colOff>
      <xdr:row>9</xdr:row>
      <xdr:rowOff>61451</xdr:rowOff>
    </xdr:to>
    <xdr:sp macro="" textlink="">
      <xdr:nvSpPr>
        <xdr:cNvPr id="4" name="Rectangle: Rounded Corners 3">
          <a:extLst>
            <a:ext uri="{FF2B5EF4-FFF2-40B4-BE49-F238E27FC236}">
              <a16:creationId xmlns:a16="http://schemas.microsoft.com/office/drawing/2014/main" id="{7E5C31CA-3B61-FD8C-AC83-6524A98557D9}"/>
            </a:ext>
          </a:extLst>
        </xdr:cNvPr>
        <xdr:cNvSpPr/>
      </xdr:nvSpPr>
      <xdr:spPr>
        <a:xfrm>
          <a:off x="5932901" y="67598"/>
          <a:ext cx="2429958" cy="1624033"/>
        </a:xfrm>
        <a:prstGeom prst="roundRect">
          <a:avLst>
            <a:gd name="adj" fmla="val 282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43016</xdr:colOff>
      <xdr:row>3</xdr:row>
      <xdr:rowOff>92177</xdr:rowOff>
    </xdr:from>
    <xdr:to>
      <xdr:col>1</xdr:col>
      <xdr:colOff>172065</xdr:colOff>
      <xdr:row>21</xdr:row>
      <xdr:rowOff>162394</xdr:rowOff>
    </xdr:to>
    <xdr:sp macro="" textlink="">
      <xdr:nvSpPr>
        <xdr:cNvPr id="5" name="Rectangle: Rounded Corners 4">
          <a:extLst>
            <a:ext uri="{FF2B5EF4-FFF2-40B4-BE49-F238E27FC236}">
              <a16:creationId xmlns:a16="http://schemas.microsoft.com/office/drawing/2014/main" id="{74A0D62C-18A9-3ABA-2473-630159D62B52}"/>
            </a:ext>
          </a:extLst>
        </xdr:cNvPr>
        <xdr:cNvSpPr/>
      </xdr:nvSpPr>
      <xdr:spPr>
        <a:xfrm>
          <a:off x="43016" y="642510"/>
          <a:ext cx="735827" cy="3372217"/>
        </a:xfrm>
        <a:prstGeom prst="roundRect">
          <a:avLst>
            <a:gd name="adj" fmla="val 4026"/>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202588</xdr:colOff>
      <xdr:row>9</xdr:row>
      <xdr:rowOff>12188</xdr:rowOff>
    </xdr:from>
    <xdr:to>
      <xdr:col>9</xdr:col>
      <xdr:colOff>350072</xdr:colOff>
      <xdr:row>12</xdr:row>
      <xdr:rowOff>174885</xdr:rowOff>
    </xdr:to>
    <xdr:sp macro="" textlink="">
      <xdr:nvSpPr>
        <xdr:cNvPr id="7" name="Rectangle: Rounded Corners 6">
          <a:extLst>
            <a:ext uri="{FF2B5EF4-FFF2-40B4-BE49-F238E27FC236}">
              <a16:creationId xmlns:a16="http://schemas.microsoft.com/office/drawing/2014/main" id="{C76536D5-8024-5D4A-C97C-7CB43ACE3CF4}"/>
            </a:ext>
          </a:extLst>
        </xdr:cNvPr>
        <xdr:cNvSpPr/>
      </xdr:nvSpPr>
      <xdr:spPr>
        <a:xfrm>
          <a:off x="813818" y="1662509"/>
          <a:ext cx="5037324" cy="712804"/>
        </a:xfrm>
        <a:prstGeom prst="roundRect">
          <a:avLst>
            <a:gd name="adj" fmla="val 2514"/>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479322</xdr:colOff>
      <xdr:row>0</xdr:row>
      <xdr:rowOff>67597</xdr:rowOff>
    </xdr:from>
    <xdr:to>
      <xdr:col>17</xdr:col>
      <xdr:colOff>460887</xdr:colOff>
      <xdr:row>9</xdr:row>
      <xdr:rowOff>36871</xdr:rowOff>
    </xdr:to>
    <xdr:sp macro="" textlink="">
      <xdr:nvSpPr>
        <xdr:cNvPr id="9" name="Rectangle: Rounded Corners 8">
          <a:extLst>
            <a:ext uri="{FF2B5EF4-FFF2-40B4-BE49-F238E27FC236}">
              <a16:creationId xmlns:a16="http://schemas.microsoft.com/office/drawing/2014/main" id="{5A3E81D2-85C2-AE92-49FA-88321790751A}"/>
            </a:ext>
          </a:extLst>
        </xdr:cNvPr>
        <xdr:cNvSpPr/>
      </xdr:nvSpPr>
      <xdr:spPr>
        <a:xfrm>
          <a:off x="8387473" y="67597"/>
          <a:ext cx="2414843" cy="1640551"/>
        </a:xfrm>
        <a:prstGeom prst="roundRect">
          <a:avLst>
            <a:gd name="adj" fmla="val 339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510048</xdr:colOff>
      <xdr:row>3</xdr:row>
      <xdr:rowOff>79885</xdr:rowOff>
    </xdr:from>
    <xdr:to>
      <xdr:col>9</xdr:col>
      <xdr:colOff>325694</xdr:colOff>
      <xdr:row>8</xdr:row>
      <xdr:rowOff>141338</xdr:rowOff>
    </xdr:to>
    <xdr:sp macro="" textlink="">
      <xdr:nvSpPr>
        <xdr:cNvPr id="6" name="Rectangle: Rounded Corners 5">
          <a:extLst>
            <a:ext uri="{FF2B5EF4-FFF2-40B4-BE49-F238E27FC236}">
              <a16:creationId xmlns:a16="http://schemas.microsoft.com/office/drawing/2014/main" id="{8750E44C-9565-414B-55AD-42FC482BE600}"/>
            </a:ext>
          </a:extLst>
        </xdr:cNvPr>
        <xdr:cNvSpPr/>
      </xdr:nvSpPr>
      <xdr:spPr>
        <a:xfrm>
          <a:off x="4159627" y="621306"/>
          <a:ext cx="1640435" cy="963821"/>
        </a:xfrm>
        <a:prstGeom prst="roundRect">
          <a:avLst>
            <a:gd name="adj" fmla="val 7625"/>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36874</xdr:colOff>
      <xdr:row>3</xdr:row>
      <xdr:rowOff>73740</xdr:rowOff>
    </xdr:from>
    <xdr:to>
      <xdr:col>6</xdr:col>
      <xdr:colOff>436306</xdr:colOff>
      <xdr:row>8</xdr:row>
      <xdr:rowOff>135194</xdr:rowOff>
    </xdr:to>
    <xdr:sp macro="" textlink="">
      <xdr:nvSpPr>
        <xdr:cNvPr id="10" name="Rectangle: Rounded Corners 9">
          <a:extLst>
            <a:ext uri="{FF2B5EF4-FFF2-40B4-BE49-F238E27FC236}">
              <a16:creationId xmlns:a16="http://schemas.microsoft.com/office/drawing/2014/main" id="{E3669814-1CD9-A114-47AC-C15C72E2DA4B}"/>
            </a:ext>
          </a:extLst>
        </xdr:cNvPr>
        <xdr:cNvSpPr/>
      </xdr:nvSpPr>
      <xdr:spPr>
        <a:xfrm>
          <a:off x="2470151" y="630832"/>
          <a:ext cx="1616071" cy="989942"/>
        </a:xfrm>
        <a:prstGeom prst="roundRect">
          <a:avLst>
            <a:gd name="adj" fmla="val 375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218619</xdr:colOff>
      <xdr:row>3</xdr:row>
      <xdr:rowOff>104012</xdr:rowOff>
    </xdr:from>
    <xdr:to>
      <xdr:col>3</xdr:col>
      <xdr:colOff>581180</xdr:colOff>
      <xdr:row>8</xdr:row>
      <xdr:rowOff>149046</xdr:rowOff>
    </xdr:to>
    <xdr:sp macro="" textlink="">
      <xdr:nvSpPr>
        <xdr:cNvPr id="11" name="Rectangle: Rounded Corners 10">
          <a:extLst>
            <a:ext uri="{FF2B5EF4-FFF2-40B4-BE49-F238E27FC236}">
              <a16:creationId xmlns:a16="http://schemas.microsoft.com/office/drawing/2014/main" id="{5E056295-2483-062C-6E55-080B51CB9BB3}"/>
            </a:ext>
          </a:extLst>
        </xdr:cNvPr>
        <xdr:cNvSpPr/>
      </xdr:nvSpPr>
      <xdr:spPr>
        <a:xfrm>
          <a:off x="829849" y="654119"/>
          <a:ext cx="1585021" cy="961879"/>
        </a:xfrm>
        <a:prstGeom prst="roundRect">
          <a:avLst>
            <a:gd name="adj" fmla="val 1992"/>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428440</xdr:colOff>
      <xdr:row>9</xdr:row>
      <xdr:rowOff>118204</xdr:rowOff>
    </xdr:from>
    <xdr:to>
      <xdr:col>17</xdr:col>
      <xdr:colOff>472565</xdr:colOff>
      <xdr:row>21</xdr:row>
      <xdr:rowOff>151551</xdr:rowOff>
    </xdr:to>
    <xdr:sp macro="" textlink="">
      <xdr:nvSpPr>
        <xdr:cNvPr id="13" name="Rectangle: Rounded Corners 12">
          <a:extLst>
            <a:ext uri="{FF2B5EF4-FFF2-40B4-BE49-F238E27FC236}">
              <a16:creationId xmlns:a16="http://schemas.microsoft.com/office/drawing/2014/main" id="{C3DEC9ED-4AC9-B7EC-EC31-5AA33A9F9FA6}"/>
            </a:ext>
          </a:extLst>
        </xdr:cNvPr>
        <xdr:cNvSpPr/>
      </xdr:nvSpPr>
      <xdr:spPr>
        <a:xfrm>
          <a:off x="5914840" y="1764124"/>
          <a:ext cx="4920925" cy="2227907"/>
        </a:xfrm>
        <a:prstGeom prst="roundRect">
          <a:avLst>
            <a:gd name="adj" fmla="val 4600"/>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208936</xdr:colOff>
      <xdr:row>13</xdr:row>
      <xdr:rowOff>61451</xdr:rowOff>
    </xdr:from>
    <xdr:to>
      <xdr:col>9</xdr:col>
      <xdr:colOff>356420</xdr:colOff>
      <xdr:row>21</xdr:row>
      <xdr:rowOff>162394</xdr:rowOff>
    </xdr:to>
    <xdr:sp macro="" textlink="">
      <xdr:nvSpPr>
        <xdr:cNvPr id="18" name="Rectangle: Rounded Corners 17">
          <a:extLst>
            <a:ext uri="{FF2B5EF4-FFF2-40B4-BE49-F238E27FC236}">
              <a16:creationId xmlns:a16="http://schemas.microsoft.com/office/drawing/2014/main" id="{6A262C11-C2A3-470E-A532-E2BAAA1926D3}"/>
            </a:ext>
          </a:extLst>
        </xdr:cNvPr>
        <xdr:cNvSpPr/>
      </xdr:nvSpPr>
      <xdr:spPr>
        <a:xfrm>
          <a:off x="819974" y="2397772"/>
          <a:ext cx="5035786" cy="1538679"/>
        </a:xfrm>
        <a:prstGeom prst="roundRect">
          <a:avLst>
            <a:gd name="adj" fmla="val 457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224223</xdr:colOff>
      <xdr:row>0</xdr:row>
      <xdr:rowOff>85396</xdr:rowOff>
    </xdr:from>
    <xdr:to>
      <xdr:col>6</xdr:col>
      <xdr:colOff>168010</xdr:colOff>
      <xdr:row>2</xdr:row>
      <xdr:rowOff>22938</xdr:rowOff>
    </xdr:to>
    <xdr:sp macro="" textlink="">
      <xdr:nvSpPr>
        <xdr:cNvPr id="19" name="TextBox 18">
          <a:extLst>
            <a:ext uri="{FF2B5EF4-FFF2-40B4-BE49-F238E27FC236}">
              <a16:creationId xmlns:a16="http://schemas.microsoft.com/office/drawing/2014/main" id="{D04868D0-E3BD-6352-464B-06D4746515EC}"/>
            </a:ext>
          </a:extLst>
        </xdr:cNvPr>
        <xdr:cNvSpPr txBox="1"/>
      </xdr:nvSpPr>
      <xdr:spPr>
        <a:xfrm>
          <a:off x="832542" y="85396"/>
          <a:ext cx="2985384" cy="3089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tx1">
                  <a:lumMod val="95000"/>
                  <a:lumOff val="5000"/>
                </a:schemeClr>
              </a:solidFill>
            </a:rPr>
            <a:t>Hospital</a:t>
          </a:r>
          <a:r>
            <a:rPr lang="en-IN" sz="1400" baseline="0">
              <a:solidFill>
                <a:schemeClr val="tx1">
                  <a:lumMod val="95000"/>
                  <a:lumOff val="5000"/>
                </a:schemeClr>
              </a:solidFill>
            </a:rPr>
            <a:t> Emergency Room Dashboard</a:t>
          </a:r>
          <a:endParaRPr lang="en-IN" sz="1400">
            <a:solidFill>
              <a:schemeClr val="tx1">
                <a:lumMod val="95000"/>
                <a:lumOff val="5000"/>
              </a:schemeClr>
            </a:solidFill>
          </a:endParaRPr>
        </a:p>
      </xdr:txBody>
    </xdr:sp>
    <xdr:clientData/>
  </xdr:twoCellAnchor>
  <xdr:twoCellAnchor editAs="oneCell">
    <xdr:from>
      <xdr:col>0</xdr:col>
      <xdr:colOff>0</xdr:colOff>
      <xdr:row>0</xdr:row>
      <xdr:rowOff>26737</xdr:rowOff>
    </xdr:from>
    <xdr:to>
      <xdr:col>1</xdr:col>
      <xdr:colOff>471055</xdr:colOff>
      <xdr:row>3</xdr:row>
      <xdr:rowOff>85472</xdr:rowOff>
    </xdr:to>
    <xdr:pic>
      <xdr:nvPicPr>
        <xdr:cNvPr id="23" name="Picture 22">
          <a:extLst>
            <a:ext uri="{FF2B5EF4-FFF2-40B4-BE49-F238E27FC236}">
              <a16:creationId xmlns:a16="http://schemas.microsoft.com/office/drawing/2014/main" id="{79845749-1033-DB10-2203-75A4BDE9F0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6737"/>
          <a:ext cx="1079374" cy="615827"/>
        </a:xfrm>
        <a:prstGeom prst="rect">
          <a:avLst/>
        </a:prstGeom>
      </xdr:spPr>
    </xdr:pic>
    <xdr:clientData/>
  </xdr:twoCellAnchor>
  <xdr:twoCellAnchor>
    <xdr:from>
      <xdr:col>1</xdr:col>
      <xdr:colOff>347579</xdr:colOff>
      <xdr:row>4</xdr:row>
      <xdr:rowOff>106947</xdr:rowOff>
    </xdr:from>
    <xdr:to>
      <xdr:col>3</xdr:col>
      <xdr:colOff>447842</xdr:colOff>
      <xdr:row>5</xdr:row>
      <xdr:rowOff>160421</xdr:rowOff>
    </xdr:to>
    <xdr:sp macro="" textlink="">
      <xdr:nvSpPr>
        <xdr:cNvPr id="24" name="TextBox 23">
          <a:extLst>
            <a:ext uri="{FF2B5EF4-FFF2-40B4-BE49-F238E27FC236}">
              <a16:creationId xmlns:a16="http://schemas.microsoft.com/office/drawing/2014/main" id="{ECAFBBDE-EACD-1AED-9FC1-C6168405C3F4}"/>
            </a:ext>
          </a:extLst>
        </xdr:cNvPr>
        <xdr:cNvSpPr txBox="1"/>
      </xdr:nvSpPr>
      <xdr:spPr>
        <a:xfrm>
          <a:off x="955842" y="828842"/>
          <a:ext cx="1316789" cy="233947"/>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a:t>    No. Of Patient</a:t>
          </a:r>
        </a:p>
        <a:p>
          <a:endParaRPr lang="en-IN" sz="1100"/>
        </a:p>
      </xdr:txBody>
    </xdr:sp>
    <xdr:clientData/>
  </xdr:twoCellAnchor>
  <xdr:twoCellAnchor>
    <xdr:from>
      <xdr:col>1</xdr:col>
      <xdr:colOff>267369</xdr:colOff>
      <xdr:row>3</xdr:row>
      <xdr:rowOff>127000</xdr:rowOff>
    </xdr:from>
    <xdr:to>
      <xdr:col>3</xdr:col>
      <xdr:colOff>501316</xdr:colOff>
      <xdr:row>5</xdr:row>
      <xdr:rowOff>6685</xdr:rowOff>
    </xdr:to>
    <xdr:sp macro="" textlink="'Pivot Table'!A2">
      <xdr:nvSpPr>
        <xdr:cNvPr id="25" name="TextBox 24">
          <a:extLst>
            <a:ext uri="{FF2B5EF4-FFF2-40B4-BE49-F238E27FC236}">
              <a16:creationId xmlns:a16="http://schemas.microsoft.com/office/drawing/2014/main" id="{2344B07A-0F32-593B-E11F-67B7876146DE}"/>
            </a:ext>
          </a:extLst>
        </xdr:cNvPr>
        <xdr:cNvSpPr txBox="1"/>
      </xdr:nvSpPr>
      <xdr:spPr>
        <a:xfrm>
          <a:off x="875688" y="684092"/>
          <a:ext cx="1450586" cy="2510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ea typeface="Calibri"/>
              <a:cs typeface="Calibri"/>
            </a:rPr>
            <a:t>                </a:t>
          </a:r>
          <a:fld id="{85088AD2-55A3-44E7-BDDA-5865056F5A84}" type="TxLink">
            <a:rPr lang="en-US" sz="1100" b="0" i="0" u="none" strike="noStrike">
              <a:solidFill>
                <a:srgbClr val="000000"/>
              </a:solidFill>
              <a:latin typeface="Calibri"/>
              <a:ea typeface="Calibri"/>
              <a:cs typeface="Calibri"/>
            </a:rPr>
            <a:pPr/>
            <a:t>493</a:t>
          </a:fld>
          <a:endParaRPr lang="en-IN" sz="1100"/>
        </a:p>
      </xdr:txBody>
    </xdr:sp>
    <xdr:clientData/>
  </xdr:twoCellAnchor>
  <xdr:twoCellAnchor>
    <xdr:from>
      <xdr:col>4</xdr:col>
      <xdr:colOff>200526</xdr:colOff>
      <xdr:row>4</xdr:row>
      <xdr:rowOff>100263</xdr:rowOff>
    </xdr:from>
    <xdr:to>
      <xdr:col>6</xdr:col>
      <xdr:colOff>427789</xdr:colOff>
      <xdr:row>5</xdr:row>
      <xdr:rowOff>153737</xdr:rowOff>
    </xdr:to>
    <xdr:sp macro="" textlink="">
      <xdr:nvSpPr>
        <xdr:cNvPr id="26" name="TextBox 25">
          <a:extLst>
            <a:ext uri="{FF2B5EF4-FFF2-40B4-BE49-F238E27FC236}">
              <a16:creationId xmlns:a16="http://schemas.microsoft.com/office/drawing/2014/main" id="{A007D80B-7CBB-F5FF-55D2-313B4F353A50}"/>
            </a:ext>
          </a:extLst>
        </xdr:cNvPr>
        <xdr:cNvSpPr txBox="1"/>
      </xdr:nvSpPr>
      <xdr:spPr>
        <a:xfrm>
          <a:off x="2633579" y="822158"/>
          <a:ext cx="1443789" cy="233947"/>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Avg</a:t>
          </a:r>
          <a:r>
            <a:rPr lang="en-IN" sz="1100" baseline="0"/>
            <a:t> Patient Waittime</a:t>
          </a:r>
          <a:endParaRPr lang="en-IN" sz="1100"/>
        </a:p>
      </xdr:txBody>
    </xdr:sp>
    <xdr:clientData/>
  </xdr:twoCellAnchor>
  <xdr:twoCellAnchor>
    <xdr:from>
      <xdr:col>5</xdr:col>
      <xdr:colOff>80210</xdr:colOff>
      <xdr:row>3</xdr:row>
      <xdr:rowOff>120316</xdr:rowOff>
    </xdr:from>
    <xdr:to>
      <xdr:col>6</xdr:col>
      <xdr:colOff>66842</xdr:colOff>
      <xdr:row>5</xdr:row>
      <xdr:rowOff>1</xdr:rowOff>
    </xdr:to>
    <xdr:sp macro="" textlink="'Pivot Table'!A6">
      <xdr:nvSpPr>
        <xdr:cNvPr id="27" name="TextBox 26">
          <a:extLst>
            <a:ext uri="{FF2B5EF4-FFF2-40B4-BE49-F238E27FC236}">
              <a16:creationId xmlns:a16="http://schemas.microsoft.com/office/drawing/2014/main" id="{23C3D499-53BB-8B87-97ED-14EB673C2135}"/>
            </a:ext>
          </a:extLst>
        </xdr:cNvPr>
        <xdr:cNvSpPr txBox="1"/>
      </xdr:nvSpPr>
      <xdr:spPr>
        <a:xfrm>
          <a:off x="3121526" y="661737"/>
          <a:ext cx="594895" cy="24063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D7736F9-2DFB-4FAD-A772-8FDAE0F1D6EB}" type="TxLink">
            <a:rPr lang="en-US" sz="1100" b="0" i="0" u="none" strike="noStrike">
              <a:solidFill>
                <a:srgbClr val="000000"/>
              </a:solidFill>
              <a:latin typeface="Calibri"/>
              <a:ea typeface="Calibri"/>
              <a:cs typeface="Calibri"/>
            </a:rPr>
            <a:pPr/>
            <a:t>34.43</a:t>
          </a:fld>
          <a:endParaRPr lang="en-IN" sz="1100"/>
        </a:p>
      </xdr:txBody>
    </xdr:sp>
    <xdr:clientData/>
  </xdr:twoCellAnchor>
  <xdr:twoCellAnchor>
    <xdr:from>
      <xdr:col>6</xdr:col>
      <xdr:colOff>554789</xdr:colOff>
      <xdr:row>4</xdr:row>
      <xdr:rowOff>126999</xdr:rowOff>
    </xdr:from>
    <xdr:to>
      <xdr:col>9</xdr:col>
      <xdr:colOff>307474</xdr:colOff>
      <xdr:row>5</xdr:row>
      <xdr:rowOff>180473</xdr:rowOff>
    </xdr:to>
    <xdr:sp macro="" textlink="">
      <xdr:nvSpPr>
        <xdr:cNvPr id="28" name="TextBox 27">
          <a:extLst>
            <a:ext uri="{FF2B5EF4-FFF2-40B4-BE49-F238E27FC236}">
              <a16:creationId xmlns:a16="http://schemas.microsoft.com/office/drawing/2014/main" id="{2A16D18F-0942-DFA4-DB07-4845909CE6FC}"/>
            </a:ext>
          </a:extLst>
        </xdr:cNvPr>
        <xdr:cNvSpPr txBox="1"/>
      </xdr:nvSpPr>
      <xdr:spPr>
        <a:xfrm>
          <a:off x="4204368" y="848894"/>
          <a:ext cx="1577474" cy="233947"/>
        </a:xfrm>
        <a:prstGeom prst="rect">
          <a:avLst/>
        </a:prstGeom>
        <a:solidFill>
          <a:schemeClr val="bg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a:t>Patient </a:t>
          </a:r>
          <a:r>
            <a:rPr lang="en-IN" sz="1000" baseline="0"/>
            <a:t>Satification Score</a:t>
          </a:r>
          <a:endParaRPr lang="en-IN" sz="1000"/>
        </a:p>
        <a:p>
          <a:endParaRPr lang="en-IN" sz="1000"/>
        </a:p>
      </xdr:txBody>
    </xdr:sp>
    <xdr:clientData/>
  </xdr:twoCellAnchor>
  <xdr:twoCellAnchor>
    <xdr:from>
      <xdr:col>7</xdr:col>
      <xdr:colOff>520246</xdr:colOff>
      <xdr:row>3</xdr:row>
      <xdr:rowOff>126720</xdr:rowOff>
    </xdr:from>
    <xdr:to>
      <xdr:col>9</xdr:col>
      <xdr:colOff>206088</xdr:colOff>
      <xdr:row>5</xdr:row>
      <xdr:rowOff>6405</xdr:rowOff>
    </xdr:to>
    <xdr:sp macro="" textlink="'Pivot Table'!A11">
      <xdr:nvSpPr>
        <xdr:cNvPr id="29" name="TextBox 28">
          <a:extLst>
            <a:ext uri="{FF2B5EF4-FFF2-40B4-BE49-F238E27FC236}">
              <a16:creationId xmlns:a16="http://schemas.microsoft.com/office/drawing/2014/main" id="{BD4CF439-1C8E-BB30-20D3-65FAD057C5E3}"/>
            </a:ext>
          </a:extLst>
        </xdr:cNvPr>
        <xdr:cNvSpPr txBox="1"/>
      </xdr:nvSpPr>
      <xdr:spPr>
        <a:xfrm>
          <a:off x="4778481" y="683812"/>
          <a:ext cx="902481" cy="2510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E44DA0-AC0B-4EEC-AB96-0C9C030EEFA8}" type="TxLink">
            <a:rPr lang="en-US" sz="1100" b="0" i="0" u="none" strike="noStrike">
              <a:solidFill>
                <a:srgbClr val="000000"/>
              </a:solidFill>
              <a:latin typeface="Calibri"/>
              <a:ea typeface="Calibri"/>
              <a:cs typeface="Calibri"/>
            </a:rPr>
            <a:pPr/>
            <a:t>5.16</a:t>
          </a:fld>
          <a:endParaRPr lang="en-IN" sz="1100"/>
        </a:p>
      </xdr:txBody>
    </xdr:sp>
    <xdr:clientData/>
  </xdr:twoCellAnchor>
  <xdr:twoCellAnchor editAs="oneCell">
    <xdr:from>
      <xdr:col>3</xdr:col>
      <xdr:colOff>249732</xdr:colOff>
      <xdr:row>3</xdr:row>
      <xdr:rowOff>89648</xdr:rowOff>
    </xdr:from>
    <xdr:to>
      <xdr:col>3</xdr:col>
      <xdr:colOff>563496</xdr:colOff>
      <xdr:row>5</xdr:row>
      <xdr:rowOff>32017</xdr:rowOff>
    </xdr:to>
    <xdr:pic>
      <xdr:nvPicPr>
        <xdr:cNvPr id="31" name="Graphic 30" descr="User with solid fill">
          <a:extLst>
            <a:ext uri="{FF2B5EF4-FFF2-40B4-BE49-F238E27FC236}">
              <a16:creationId xmlns:a16="http://schemas.microsoft.com/office/drawing/2014/main" id="{903E04EA-7079-105D-876E-B38E47CE396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074690" y="646740"/>
          <a:ext cx="313764" cy="313764"/>
        </a:xfrm>
        <a:prstGeom prst="rect">
          <a:avLst/>
        </a:prstGeom>
      </xdr:spPr>
    </xdr:pic>
    <xdr:clientData/>
  </xdr:twoCellAnchor>
  <xdr:twoCellAnchor editAs="oneCell">
    <xdr:from>
      <xdr:col>6</xdr:col>
      <xdr:colOff>134472</xdr:colOff>
      <xdr:row>3</xdr:row>
      <xdr:rowOff>108857</xdr:rowOff>
    </xdr:from>
    <xdr:to>
      <xdr:col>6</xdr:col>
      <xdr:colOff>409816</xdr:colOff>
      <xdr:row>4</xdr:row>
      <xdr:rowOff>172891</xdr:rowOff>
    </xdr:to>
    <xdr:pic>
      <xdr:nvPicPr>
        <xdr:cNvPr id="33" name="Graphic 32" descr="Hourglass Finished with solid fill">
          <a:extLst>
            <a:ext uri="{FF2B5EF4-FFF2-40B4-BE49-F238E27FC236}">
              <a16:creationId xmlns:a16="http://schemas.microsoft.com/office/drawing/2014/main" id="{EFB6ED01-1542-F1A4-B324-D09CA1E7E8E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784388" y="665949"/>
          <a:ext cx="275344" cy="249732"/>
        </a:xfrm>
        <a:prstGeom prst="rect">
          <a:avLst/>
        </a:prstGeom>
      </xdr:spPr>
    </xdr:pic>
    <xdr:clientData/>
  </xdr:twoCellAnchor>
  <xdr:twoCellAnchor editAs="oneCell">
    <xdr:from>
      <xdr:col>9</xdr:col>
      <xdr:colOff>70437</xdr:colOff>
      <xdr:row>3</xdr:row>
      <xdr:rowOff>115261</xdr:rowOff>
    </xdr:from>
    <xdr:to>
      <xdr:col>9</xdr:col>
      <xdr:colOff>300958</xdr:colOff>
      <xdr:row>4</xdr:row>
      <xdr:rowOff>160084</xdr:rowOff>
    </xdr:to>
    <xdr:pic>
      <xdr:nvPicPr>
        <xdr:cNvPr id="35" name="Graphic 34" descr="Shooting star with solid fill">
          <a:extLst>
            <a:ext uri="{FF2B5EF4-FFF2-40B4-BE49-F238E27FC236}">
              <a16:creationId xmlns:a16="http://schemas.microsoft.com/office/drawing/2014/main" id="{22AD3669-D8A8-CD4D-1859-47551A0033D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545311" y="672353"/>
          <a:ext cx="230521" cy="230521"/>
        </a:xfrm>
        <a:prstGeom prst="rect">
          <a:avLst/>
        </a:prstGeom>
      </xdr:spPr>
    </xdr:pic>
    <xdr:clientData/>
  </xdr:twoCellAnchor>
  <xdr:twoCellAnchor>
    <xdr:from>
      <xdr:col>2</xdr:col>
      <xdr:colOff>525076</xdr:colOff>
      <xdr:row>1</xdr:row>
      <xdr:rowOff>147278</xdr:rowOff>
    </xdr:from>
    <xdr:to>
      <xdr:col>4</xdr:col>
      <xdr:colOff>397009</xdr:colOff>
      <xdr:row>3</xdr:row>
      <xdr:rowOff>19211</xdr:rowOff>
    </xdr:to>
    <xdr:sp macro="" textlink="">
      <xdr:nvSpPr>
        <xdr:cNvPr id="38" name="TextBox 37">
          <a:extLst>
            <a:ext uri="{FF2B5EF4-FFF2-40B4-BE49-F238E27FC236}">
              <a16:creationId xmlns:a16="http://schemas.microsoft.com/office/drawing/2014/main" id="{7F9B8ABB-EC1E-A3E0-9666-D34DB13FE48A}"/>
            </a:ext>
          </a:extLst>
        </xdr:cNvPr>
        <xdr:cNvSpPr txBox="1"/>
      </xdr:nvSpPr>
      <xdr:spPr>
        <a:xfrm>
          <a:off x="1741715" y="332975"/>
          <a:ext cx="1088571" cy="24332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dk1"/>
              </a:solidFill>
              <a:latin typeface="+mn-lt"/>
              <a:ea typeface="+mn-ea"/>
              <a:cs typeface="+mn-cs"/>
            </a:rPr>
            <a:t>Monthly</a:t>
          </a:r>
          <a:r>
            <a:rPr lang="en-IN" sz="1100"/>
            <a:t> Report</a:t>
          </a:r>
        </a:p>
      </xdr:txBody>
    </xdr:sp>
    <xdr:clientData/>
  </xdr:twoCellAnchor>
  <xdr:twoCellAnchor editAs="oneCell">
    <xdr:from>
      <xdr:col>0</xdr:col>
      <xdr:colOff>69785</xdr:colOff>
      <xdr:row>7</xdr:row>
      <xdr:rowOff>19744</xdr:rowOff>
    </xdr:from>
    <xdr:to>
      <xdr:col>1</xdr:col>
      <xdr:colOff>136916</xdr:colOff>
      <xdr:row>21</xdr:row>
      <xdr:rowOff>155223</xdr:rowOff>
    </xdr:to>
    <mc:AlternateContent xmlns:mc="http://schemas.openxmlformats.org/markup-compatibility/2006" xmlns:a14="http://schemas.microsoft.com/office/drawing/2010/main">
      <mc:Choice Requires="a14">
        <xdr:graphicFrame macro="">
          <xdr:nvGraphicFramePr>
            <xdr:cNvPr id="39" name="Date (Month)">
              <a:extLst>
                <a:ext uri="{FF2B5EF4-FFF2-40B4-BE49-F238E27FC236}">
                  <a16:creationId xmlns:a16="http://schemas.microsoft.com/office/drawing/2014/main" id="{0687A5FA-1EE3-45B3-8983-34043AC90C23}"/>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69785" y="1299904"/>
              <a:ext cx="676731" cy="2695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204000</xdr:colOff>
      <xdr:row>5</xdr:row>
      <xdr:rowOff>105946</xdr:rowOff>
    </xdr:from>
    <xdr:to>
      <xdr:col>3</xdr:col>
      <xdr:colOff>578555</xdr:colOff>
      <xdr:row>8</xdr:row>
      <xdr:rowOff>162994</xdr:rowOff>
    </xdr:to>
    <xdr:graphicFrame macro="">
      <xdr:nvGraphicFramePr>
        <xdr:cNvPr id="41" name="Chart 40">
          <a:hlinkClick xmlns:r="http://schemas.openxmlformats.org/officeDocument/2006/relationships" r:id="rId8"/>
          <a:extLst>
            <a:ext uri="{FF2B5EF4-FFF2-40B4-BE49-F238E27FC236}">
              <a16:creationId xmlns:a16="http://schemas.microsoft.com/office/drawing/2014/main" id="{BBE13EED-1301-4017-BF49-75531D104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42000</xdr:colOff>
      <xdr:row>4</xdr:row>
      <xdr:rowOff>53913</xdr:rowOff>
    </xdr:from>
    <xdr:to>
      <xdr:col>6</xdr:col>
      <xdr:colOff>437757</xdr:colOff>
      <xdr:row>8</xdr:row>
      <xdr:rowOff>143558</xdr:rowOff>
    </xdr:to>
    <xdr:graphicFrame macro="">
      <xdr:nvGraphicFramePr>
        <xdr:cNvPr id="42" name="Chart 41">
          <a:hlinkClick xmlns:r="http://schemas.openxmlformats.org/officeDocument/2006/relationships" r:id="rId10"/>
          <a:extLst>
            <a:ext uri="{FF2B5EF4-FFF2-40B4-BE49-F238E27FC236}">
              <a16:creationId xmlns:a16="http://schemas.microsoft.com/office/drawing/2014/main" id="{8CA98C31-A00C-4804-969E-592DC08F7A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127000</xdr:colOff>
      <xdr:row>3</xdr:row>
      <xdr:rowOff>77611</xdr:rowOff>
    </xdr:from>
    <xdr:to>
      <xdr:col>1</xdr:col>
      <xdr:colOff>112889</xdr:colOff>
      <xdr:row>6</xdr:row>
      <xdr:rowOff>119944</xdr:rowOff>
    </xdr:to>
    <xdr:pic>
      <xdr:nvPicPr>
        <xdr:cNvPr id="44" name="Graphic 43" descr="Daily calendar with solid fill">
          <a:extLst>
            <a:ext uri="{FF2B5EF4-FFF2-40B4-BE49-F238E27FC236}">
              <a16:creationId xmlns:a16="http://schemas.microsoft.com/office/drawing/2014/main" id="{6D33097A-5FE1-8555-6990-4ACCBB5402A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27000" y="627944"/>
          <a:ext cx="592667" cy="592667"/>
        </a:xfrm>
        <a:prstGeom prst="rect">
          <a:avLst/>
        </a:prstGeom>
      </xdr:spPr>
    </xdr:pic>
    <xdr:clientData/>
  </xdr:twoCellAnchor>
  <xdr:twoCellAnchor>
    <xdr:from>
      <xdr:col>6</xdr:col>
      <xdr:colOff>515469</xdr:colOff>
      <xdr:row>6</xdr:row>
      <xdr:rowOff>68239</xdr:rowOff>
    </xdr:from>
    <xdr:to>
      <xdr:col>9</xdr:col>
      <xdr:colOff>334165</xdr:colOff>
      <xdr:row>8</xdr:row>
      <xdr:rowOff>138078</xdr:rowOff>
    </xdr:to>
    <xdr:graphicFrame macro="">
      <xdr:nvGraphicFramePr>
        <xdr:cNvPr id="45" name="Chart 44">
          <a:hlinkClick xmlns:r="http://schemas.openxmlformats.org/officeDocument/2006/relationships" r:id="rId14"/>
          <a:extLst>
            <a:ext uri="{FF2B5EF4-FFF2-40B4-BE49-F238E27FC236}">
              <a16:creationId xmlns:a16="http://schemas.microsoft.com/office/drawing/2014/main" id="{E6C22311-2EC3-4F5F-88AF-3202D963FC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185404</xdr:colOff>
      <xdr:row>0</xdr:row>
      <xdr:rowOff>62345</xdr:rowOff>
    </xdr:from>
    <xdr:to>
      <xdr:col>14</xdr:col>
      <xdr:colOff>14313</xdr:colOff>
      <xdr:row>9</xdr:row>
      <xdr:rowOff>51300</xdr:rowOff>
    </xdr:to>
    <xdr:graphicFrame macro="">
      <xdr:nvGraphicFramePr>
        <xdr:cNvPr id="46" name="Chart 45">
          <a:extLst>
            <a:ext uri="{FF2B5EF4-FFF2-40B4-BE49-F238E27FC236}">
              <a16:creationId xmlns:a16="http://schemas.microsoft.com/office/drawing/2014/main" id="{8F690F01-251E-4BAB-B0B7-8A823266CB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0</xdr:colOff>
      <xdr:row>7</xdr:row>
      <xdr:rowOff>79664</xdr:rowOff>
    </xdr:from>
    <xdr:to>
      <xdr:col>13</xdr:col>
      <xdr:colOff>426027</xdr:colOff>
      <xdr:row>8</xdr:row>
      <xdr:rowOff>135082</xdr:rowOff>
    </xdr:to>
    <xdr:sp macro="" textlink="">
      <xdr:nvSpPr>
        <xdr:cNvPr id="47" name="TextBox 46">
          <a:extLst>
            <a:ext uri="{FF2B5EF4-FFF2-40B4-BE49-F238E27FC236}">
              <a16:creationId xmlns:a16="http://schemas.microsoft.com/office/drawing/2014/main" id="{45B7EAF5-C41E-328B-FB13-B08AD353D9BD}"/>
            </a:ext>
          </a:extLst>
        </xdr:cNvPr>
        <xdr:cNvSpPr txBox="1"/>
      </xdr:nvSpPr>
      <xdr:spPr>
        <a:xfrm>
          <a:off x="6096000" y="1364673"/>
          <a:ext cx="2254827" cy="238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Patient attended</a:t>
          </a:r>
          <a:r>
            <a:rPr lang="en-IN" sz="1100" baseline="0"/>
            <a:t> within  Time</a:t>
          </a:r>
          <a:endParaRPr lang="en-IN" sz="1100"/>
        </a:p>
      </xdr:txBody>
    </xdr:sp>
    <xdr:clientData/>
  </xdr:twoCellAnchor>
  <xdr:twoCellAnchor>
    <xdr:from>
      <xdr:col>9</xdr:col>
      <xdr:colOff>410308</xdr:colOff>
      <xdr:row>10</xdr:row>
      <xdr:rowOff>7620</xdr:rowOff>
    </xdr:from>
    <xdr:to>
      <xdr:col>17</xdr:col>
      <xdr:colOff>322386</xdr:colOff>
      <xdr:row>21</xdr:row>
      <xdr:rowOff>168811</xdr:rowOff>
    </xdr:to>
    <xdr:graphicFrame macro="">
      <xdr:nvGraphicFramePr>
        <xdr:cNvPr id="48" name="Chart 47">
          <a:extLst>
            <a:ext uri="{FF2B5EF4-FFF2-40B4-BE49-F238E27FC236}">
              <a16:creationId xmlns:a16="http://schemas.microsoft.com/office/drawing/2014/main" id="{21A2FEE1-13A0-4942-9C09-516F2C6FF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75445</xdr:colOff>
      <xdr:row>7</xdr:row>
      <xdr:rowOff>75446</xdr:rowOff>
    </xdr:from>
    <xdr:to>
      <xdr:col>17</xdr:col>
      <xdr:colOff>286694</xdr:colOff>
      <xdr:row>8</xdr:row>
      <xdr:rowOff>150892</xdr:rowOff>
    </xdr:to>
    <xdr:sp macro="" textlink="">
      <xdr:nvSpPr>
        <xdr:cNvPr id="51" name="TextBox 50">
          <a:extLst>
            <a:ext uri="{FF2B5EF4-FFF2-40B4-BE49-F238E27FC236}">
              <a16:creationId xmlns:a16="http://schemas.microsoft.com/office/drawing/2014/main" id="{1BC5B006-D890-45DE-404E-6F25EF85B607}"/>
            </a:ext>
          </a:extLst>
        </xdr:cNvPr>
        <xdr:cNvSpPr txBox="1"/>
      </xdr:nvSpPr>
      <xdr:spPr>
        <a:xfrm>
          <a:off x="8630970" y="1342931"/>
          <a:ext cx="2044575" cy="256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mn-lt"/>
              <a:ea typeface="+mn-ea"/>
              <a:cs typeface="+mn-cs"/>
            </a:rPr>
            <a:t>     No.</a:t>
          </a:r>
          <a:r>
            <a:rPr lang="en-IN" sz="1100" baseline="0">
              <a:solidFill>
                <a:schemeClr val="dk1"/>
              </a:solidFill>
              <a:effectLst/>
              <a:latin typeface="+mn-lt"/>
              <a:ea typeface="+mn-ea"/>
              <a:cs typeface="+mn-cs"/>
            </a:rPr>
            <a:t> of Patient by Gender</a:t>
          </a:r>
          <a:endParaRPr lang="en-IN">
            <a:effectLst/>
          </a:endParaRPr>
        </a:p>
        <a:p>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219570</xdr:colOff>
          <xdr:row>9</xdr:row>
          <xdr:rowOff>77348</xdr:rowOff>
        </xdr:from>
        <xdr:to>
          <xdr:col>9</xdr:col>
          <xdr:colOff>310477</xdr:colOff>
          <xdr:row>12</xdr:row>
          <xdr:rowOff>53116</xdr:rowOff>
        </xdr:to>
        <xdr:pic>
          <xdr:nvPicPr>
            <xdr:cNvPr id="71" name="Picture 70">
              <a:extLst>
                <a:ext uri="{FF2B5EF4-FFF2-40B4-BE49-F238E27FC236}">
                  <a16:creationId xmlns:a16="http://schemas.microsoft.com/office/drawing/2014/main" id="{D9D3B483-BE0B-C7A0-5713-BEF93297C616}"/>
                </a:ext>
              </a:extLst>
            </xdr:cNvPr>
            <xdr:cNvPicPr>
              <a:picLocks noChangeAspect="1" noChangeArrowheads="1"/>
              <a:extLst>
                <a:ext uri="{84589F7E-364E-4C9E-8A38-B11213B215E9}">
                  <a14:cameraTool cellRange="'Pivot Table'!$A$48:$D$50" spid="_x0000_s3122"/>
                </a:ext>
              </a:extLst>
            </xdr:cNvPicPr>
          </xdr:nvPicPr>
          <xdr:blipFill>
            <a:blip xmlns:r="http://schemas.openxmlformats.org/officeDocument/2006/relationships" r:embed="rId18"/>
            <a:srcRect/>
            <a:stretch>
              <a:fillRect/>
            </a:stretch>
          </xdr:blipFill>
          <xdr:spPr bwMode="auto">
            <a:xfrm>
              <a:off x="829170" y="1723268"/>
              <a:ext cx="4967707" cy="524408"/>
            </a:xfrm>
            <a:prstGeom prst="rect">
              <a:avLst/>
            </a:prstGeom>
            <a:solidFill>
              <a:schemeClr val="bg1"/>
            </a:solidFill>
          </xdr:spPr>
        </xdr:pic>
        <xdr:clientData fLocksWithSheet="0"/>
      </xdr:twoCellAnchor>
    </mc:Choice>
    <mc:Fallback/>
  </mc:AlternateContent>
  <xdr:twoCellAnchor>
    <xdr:from>
      <xdr:col>1</xdr:col>
      <xdr:colOff>186905</xdr:colOff>
      <xdr:row>13</xdr:row>
      <xdr:rowOff>57509</xdr:rowOff>
    </xdr:from>
    <xdr:to>
      <xdr:col>9</xdr:col>
      <xdr:colOff>345056</xdr:colOff>
      <xdr:row>20</xdr:row>
      <xdr:rowOff>71886</xdr:rowOff>
    </xdr:to>
    <xdr:graphicFrame macro="">
      <xdr:nvGraphicFramePr>
        <xdr:cNvPr id="72" name="Chart 71">
          <a:extLst>
            <a:ext uri="{FF2B5EF4-FFF2-40B4-BE49-F238E27FC236}">
              <a16:creationId xmlns:a16="http://schemas.microsoft.com/office/drawing/2014/main" id="{7155C2A5-AF8F-40BF-9797-F48AB853E1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122208</xdr:colOff>
      <xdr:row>20</xdr:row>
      <xdr:rowOff>93452</xdr:rowOff>
    </xdr:from>
    <xdr:to>
      <xdr:col>8</xdr:col>
      <xdr:colOff>567906</xdr:colOff>
      <xdr:row>21</xdr:row>
      <xdr:rowOff>136585</xdr:rowOff>
    </xdr:to>
    <xdr:sp macro="" textlink="">
      <xdr:nvSpPr>
        <xdr:cNvPr id="74" name="TextBox 73">
          <a:extLst>
            <a:ext uri="{FF2B5EF4-FFF2-40B4-BE49-F238E27FC236}">
              <a16:creationId xmlns:a16="http://schemas.microsoft.com/office/drawing/2014/main" id="{670A9281-DD6A-A84F-844D-D772838E866C}"/>
            </a:ext>
          </a:extLst>
        </xdr:cNvPr>
        <xdr:cNvSpPr txBox="1"/>
      </xdr:nvSpPr>
      <xdr:spPr>
        <a:xfrm>
          <a:off x="1344283" y="3687792"/>
          <a:ext cx="4111925" cy="222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No. of</a:t>
          </a:r>
          <a:r>
            <a:rPr lang="en-IN" sz="1100" baseline="0"/>
            <a:t> Patient By Age Group</a:t>
          </a:r>
          <a:endParaRPr lang="en-IN" sz="1100"/>
        </a:p>
      </xdr:txBody>
    </xdr:sp>
    <xdr:clientData/>
  </xdr:twoCellAnchor>
  <xdr:twoCellAnchor editAs="oneCell">
    <xdr:from>
      <xdr:col>6</xdr:col>
      <xdr:colOff>330680</xdr:colOff>
      <xdr:row>0</xdr:row>
      <xdr:rowOff>79075</xdr:rowOff>
    </xdr:from>
    <xdr:to>
      <xdr:col>9</xdr:col>
      <xdr:colOff>366622</xdr:colOff>
      <xdr:row>3</xdr:row>
      <xdr:rowOff>57509</xdr:rowOff>
    </xdr:to>
    <mc:AlternateContent xmlns:mc="http://schemas.openxmlformats.org/markup-compatibility/2006" xmlns:a14="http://schemas.microsoft.com/office/drawing/2010/main">
      <mc:Choice Requires="a14">
        <xdr:graphicFrame macro="">
          <xdr:nvGraphicFramePr>
            <xdr:cNvPr id="77" name="Date (Year) 1">
              <a:extLst>
                <a:ext uri="{FF2B5EF4-FFF2-40B4-BE49-F238E27FC236}">
                  <a16:creationId xmlns:a16="http://schemas.microsoft.com/office/drawing/2014/main" id="{517BEA0E-25E6-41FD-A58E-CF49FA92FC93}"/>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3988280" y="79075"/>
              <a:ext cx="1864742" cy="5270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496019</xdr:colOff>
      <xdr:row>0</xdr:row>
      <xdr:rowOff>21568</xdr:rowOff>
    </xdr:from>
    <xdr:to>
      <xdr:col>18</xdr:col>
      <xdr:colOff>524774</xdr:colOff>
      <xdr:row>9</xdr:row>
      <xdr:rowOff>165339</xdr:rowOff>
    </xdr:to>
    <xdr:graphicFrame macro="">
      <xdr:nvGraphicFramePr>
        <xdr:cNvPr id="82" name="Chart 81">
          <a:extLst>
            <a:ext uri="{FF2B5EF4-FFF2-40B4-BE49-F238E27FC236}">
              <a16:creationId xmlns:a16="http://schemas.microsoft.com/office/drawing/2014/main" id="{C064EC82-CDA3-4F50-83FF-0A745F9998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xdr:col>
      <xdr:colOff>100641</xdr:colOff>
      <xdr:row>19</xdr:row>
      <xdr:rowOff>115019</xdr:rowOff>
    </xdr:from>
    <xdr:to>
      <xdr:col>17</xdr:col>
      <xdr:colOff>373811</xdr:colOff>
      <xdr:row>21</xdr:row>
      <xdr:rowOff>0</xdr:rowOff>
    </xdr:to>
    <xdr:sp macro="" textlink="">
      <xdr:nvSpPr>
        <xdr:cNvPr id="84" name="TextBox 83">
          <a:extLst>
            <a:ext uri="{FF2B5EF4-FFF2-40B4-BE49-F238E27FC236}">
              <a16:creationId xmlns:a16="http://schemas.microsoft.com/office/drawing/2014/main" id="{204AE038-5CD5-020C-40D0-AADC4C71B8A9}"/>
            </a:ext>
          </a:extLst>
        </xdr:cNvPr>
        <xdr:cNvSpPr txBox="1"/>
      </xdr:nvSpPr>
      <xdr:spPr>
        <a:xfrm>
          <a:off x="7433094" y="3529642"/>
          <a:ext cx="3328359" cy="244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No. of</a:t>
          </a:r>
          <a:r>
            <a:rPr lang="en-IN" sz="1100" baseline="0"/>
            <a:t> Patient by Department Referral</a:t>
          </a:r>
        </a:p>
        <a:p>
          <a:endParaRPr lang="en-IN"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0.14865</cdr:x>
      <cdr:y>0.82522</cdr:y>
    </cdr:from>
    <cdr:to>
      <cdr:x>0.88787</cdr:x>
      <cdr:y>0.95186</cdr:y>
    </cdr:to>
    <cdr:sp macro="" textlink="">
      <cdr:nvSpPr>
        <cdr:cNvPr id="2" name="TextBox 1">
          <a:extLst xmlns:a="http://schemas.openxmlformats.org/drawingml/2006/main">
            <a:ext uri="{FF2B5EF4-FFF2-40B4-BE49-F238E27FC236}">
              <a16:creationId xmlns:a16="http://schemas.microsoft.com/office/drawing/2014/main" id="{54397249-C84F-16BE-CF5B-A07E59340677}"/>
            </a:ext>
          </a:extLst>
        </cdr:cNvPr>
        <cdr:cNvSpPr txBox="1"/>
      </cdr:nvSpPr>
      <cdr:spPr>
        <a:xfrm xmlns:a="http://schemas.openxmlformats.org/drawingml/2006/main">
          <a:off x="427660" y="1354282"/>
          <a:ext cx="2126672" cy="2078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586740</xdr:colOff>
      <xdr:row>21</xdr:row>
      <xdr:rowOff>175260</xdr:rowOff>
    </xdr:to>
    <xdr:graphicFrame macro="">
      <xdr:nvGraphicFramePr>
        <xdr:cNvPr id="2" name="Chart 1">
          <a:extLst>
            <a:ext uri="{FF2B5EF4-FFF2-40B4-BE49-F238E27FC236}">
              <a16:creationId xmlns:a16="http://schemas.microsoft.com/office/drawing/2014/main" id="{97A30634-5B33-47F3-A825-E65D59D4AA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129540</xdr:colOff>
      <xdr:row>0</xdr:row>
      <xdr:rowOff>15240</xdr:rowOff>
    </xdr:from>
    <xdr:to>
      <xdr:col>12</xdr:col>
      <xdr:colOff>510540</xdr:colOff>
      <xdr:row>2</xdr:row>
      <xdr:rowOff>30480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2B9BB624-4C65-CEFD-473A-EFA80972B10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444740" y="15240"/>
          <a:ext cx="381000" cy="381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68580</xdr:colOff>
      <xdr:row>0</xdr:row>
      <xdr:rowOff>175260</xdr:rowOff>
    </xdr:from>
    <xdr:to>
      <xdr:col>14</xdr:col>
      <xdr:colOff>419100</xdr:colOff>
      <xdr:row>26</xdr:row>
      <xdr:rowOff>22860</xdr:rowOff>
    </xdr:to>
    <xdr:graphicFrame macro="">
      <xdr:nvGraphicFramePr>
        <xdr:cNvPr id="2" name="Chart 1">
          <a:extLst>
            <a:ext uri="{FF2B5EF4-FFF2-40B4-BE49-F238E27FC236}">
              <a16:creationId xmlns:a16="http://schemas.microsoft.com/office/drawing/2014/main" id="{37275B0E-AF69-4C74-80F3-70F98FE3F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0.92796</cdr:x>
      <cdr:y>0.00828</cdr:y>
    </cdr:from>
    <cdr:to>
      <cdr:x>0.98799</cdr:x>
      <cdr:y>0.12417</cdr:y>
    </cdr:to>
    <cdr:pic>
      <cdr:nvPicPr>
        <cdr:cNvPr id="3" name="Graphic 2" descr="Hous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C3DDB60E-73FD-1D2B-F70C-272AE15BAEF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8244840" y="38100"/>
          <a:ext cx="533400" cy="533400"/>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403860</xdr:colOff>
      <xdr:row>23</xdr:row>
      <xdr:rowOff>30480</xdr:rowOff>
    </xdr:to>
    <xdr:graphicFrame macro="">
      <xdr:nvGraphicFramePr>
        <xdr:cNvPr id="2" name="Chart 1">
          <a:extLst>
            <a:ext uri="{FF2B5EF4-FFF2-40B4-BE49-F238E27FC236}">
              <a16:creationId xmlns:a16="http://schemas.microsoft.com/office/drawing/2014/main" id="{4B4995DC-63F2-4B51-8D13-3ADDA6219C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381000</xdr:colOff>
      <xdr:row>0</xdr:row>
      <xdr:rowOff>175260</xdr:rowOff>
    </xdr:from>
    <xdr:to>
      <xdr:col>13</xdr:col>
      <xdr:colOff>76200</xdr:colOff>
      <xdr:row>2</xdr:row>
      <xdr:rowOff>114300</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C8BFF5FD-DDD5-DFF0-B3BC-4711F8CAF0D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96200" y="175260"/>
          <a:ext cx="304800" cy="30480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1319441" createdVersion="5" refreshedVersion="8" minRefreshableVersion="3" recordCount="0" supportSubquery="1" supportAdvancedDrill="1" xr:uid="{C3CC7249-B41F-4015-82C9-8952EB12E53C}">
  <cacheSource type="external" connectionId="3"/>
  <cacheFields count="4">
    <cacheField name="[Measures].[Distinct Count of Patient Id]" caption="Distinct Count of Patient Id" numFmtId="0" hierarchy="28" level="32767"/>
    <cacheField name="[Calender_Table].[Date (Day)].[Date (Day)]" caption="Date (Day)" numFmtId="0" hierarchy="2" level="1">
      <sharedItems count="31">
        <s v="1-May"/>
        <s v="2-May"/>
        <s v="3-May"/>
        <s v="4-May"/>
        <s v="5-May"/>
        <s v="6-May"/>
        <s v="7-May"/>
        <s v="8-May"/>
        <s v="9-May"/>
        <s v="10-May"/>
        <s v="11-May"/>
        <s v="12-May"/>
        <s v="13-May"/>
        <s v="14-May"/>
        <s v="15-May"/>
        <s v="16-May"/>
        <s v="17-May"/>
        <s v="18-May"/>
        <s v="19-May"/>
        <s v="20-May"/>
        <s v="21-May"/>
        <s v="22-May"/>
        <s v="23-May"/>
        <s v="24-May"/>
        <s v="25-May"/>
        <s v="26-May"/>
        <s v="27-May"/>
        <s v="28-May"/>
        <s v="29-May"/>
        <s v="30-May"/>
        <s v="31-May"/>
      </sharedItems>
    </cacheField>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2"/>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1"/>
      </fieldsUsage>
    </cacheHierarchy>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oneField="1" hidden="1">
      <fieldsUsage count="1">
        <fieldUsage x="0"/>
      </fieldsUsage>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1435187" createdVersion="5" refreshedVersion="8" minRefreshableVersion="3" recordCount="0" supportSubquery="1" supportAdvancedDrill="1" xr:uid="{78CFFB19-581B-411C-8AC8-DDA89ADC2868}">
  <cacheSource type="external" connectionId="3"/>
  <cacheFields count="3">
    <cacheField name="[Measures].[Distinct Count of Patient Id]" caption="Distinct Count of Patient Id" numFmtId="0" hierarchy="28" level="32767"/>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oneField="1" hidden="1">
      <fieldsUsage count="1">
        <fieldUsage x="0"/>
      </fieldsUsage>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1550926" createdVersion="5" refreshedVersion="8" minRefreshableVersion="3" recordCount="0" supportSubquery="1" supportAdvancedDrill="1" xr:uid="{8BFDF4F3-8845-4C49-AA11-C10B43DBAAAC}">
  <cacheSource type="external" connectionId="3"/>
  <cacheFields count="3">
    <cacheField name="[Measures].[Average of Patient Waittime]" caption="Average of Patient Waittime" numFmtId="0" hierarchy="25" level="32767"/>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178241" createdVersion="5" refreshedVersion="8" minRefreshableVersion="3" recordCount="0" supportSubquery="1" supportAdvancedDrill="1" xr:uid="{01A47FDE-7164-4BF2-B213-6BF71FF8A1E1}">
  <cacheSource type="external" connectionId="3"/>
  <cacheFields count="3">
    <cacheField name="[Measures].[Average of Patient Satisfaction Score]" caption="Average of Patient Satisfaction Score" numFmtId="0" hierarchy="27" level="32767"/>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oneField="1" hidden="1">
      <fieldsUsage count="1">
        <fieldUsage x="0"/>
      </fieldsUsage>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2129626" createdVersion="5" refreshedVersion="8" minRefreshableVersion="3" recordCount="0" supportSubquery="1" supportAdvancedDrill="1" xr:uid="{C34A47AD-5084-43F9-86DA-E9B37D2347A9}">
  <cacheSource type="external" connectionId="3"/>
  <cacheFields count="4">
    <cacheField name="[Calender_Table].[Date (Day)].[Date (Day)]" caption="Date (Day)" numFmtId="0" hierarchy="2" level="1">
      <sharedItems count="31">
        <s v="1-May"/>
        <s v="2-May"/>
        <s v="3-May"/>
        <s v="4-May"/>
        <s v="5-May"/>
        <s v="6-May"/>
        <s v="7-May"/>
        <s v="8-May"/>
        <s v="9-May"/>
        <s v="10-May"/>
        <s v="11-May"/>
        <s v="12-May"/>
        <s v="13-May"/>
        <s v="14-May"/>
        <s v="15-May"/>
        <s v="16-May"/>
        <s v="17-May"/>
        <s v="18-May"/>
        <s v="19-May"/>
        <s v="20-May"/>
        <s v="21-May"/>
        <s v="22-May"/>
        <s v="23-May"/>
        <s v="24-May"/>
        <s v="25-May"/>
        <s v="26-May"/>
        <s v="27-May"/>
        <s v="28-May"/>
        <s v="29-May"/>
        <s v="30-May"/>
        <s v="31-May"/>
      </sharedItems>
    </cacheField>
    <cacheField name="[Calender_Table].[Date (Month)].[Date (Month)]" caption="Date (Month)" numFmtId="0" hierarchy="1" level="1">
      <sharedItems containsSemiMixedTypes="0" containsNonDate="0" containsString="0"/>
    </cacheField>
    <cacheField name="[Measures].[Average of Patient Waittime]" caption="Average of Patient Waittime" numFmtId="0" hierarchy="25" level="32767"/>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247685" createdVersion="5" refreshedVersion="8" minRefreshableVersion="3" recordCount="0" supportSubquery="1" supportAdvancedDrill="1" xr:uid="{D4222EA0-7304-416B-8DD2-583DA6F4C9F1}">
  <cacheSource type="external" connectionId="3"/>
  <cacheFields count="4">
    <cacheField name="[Calender_Table].[Date (Day)].[Date (Day)]" caption="Date (Day)" numFmtId="0" hierarchy="2" level="1">
      <sharedItems count="30">
        <s v="1-May"/>
        <s v="2-May"/>
        <s v="3-May"/>
        <s v="4-May"/>
        <s v="5-May"/>
        <s v="6-May"/>
        <s v="7-May"/>
        <s v="8-May"/>
        <s v="9-May"/>
        <s v="10-May"/>
        <s v="11-May"/>
        <s v="12-May"/>
        <s v="13-May"/>
        <s v="14-May"/>
        <s v="16-May"/>
        <s v="17-May"/>
        <s v="18-May"/>
        <s v="19-May"/>
        <s v="20-May"/>
        <s v="21-May"/>
        <s v="22-May"/>
        <s v="23-May"/>
        <s v="24-May"/>
        <s v="25-May"/>
        <s v="26-May"/>
        <s v="27-May"/>
        <s v="28-May"/>
        <s v="29-May"/>
        <s v="30-May"/>
        <s v="31-May"/>
      </sharedItems>
    </cacheField>
    <cacheField name="[Calender_Table].[Date (Month)].[Date (Month)]" caption="Date (Month)" numFmtId="0" hierarchy="1" level="1">
      <sharedItems containsSemiMixedTypes="0" containsNonDate="0" containsString="0"/>
    </cacheField>
    <cacheField name="[Measures].[Sum of Patient Satisfaction Score]" caption="Sum of Patient Satisfaction Score" numFmtId="0" hierarchy="26" level="32767"/>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1"/>
      </fieldsUsage>
    </cacheHierarchy>
    <cacheHierarchy uniqueName="[Calender_Table].[Date (Day)]" caption="Date (Day)" attribute="1" defaultMemberUniqueName="[Calender_Table].[Date (Day)].[All]" allUniqueName="[Calender_Table].[Date (Day)].[All]" dimensionUniqueName="[Calender_Table]" displayFolder="" count="2" memberValueDatatype="130" unbalanced="0">
      <fieldsUsage count="2">
        <fieldUsage x="-1"/>
        <fieldUsage x="0"/>
      </fieldsUsage>
    </cacheHierarchy>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oneField="1" hidden="1">
      <fieldsUsage count="1">
        <fieldUsage x="2"/>
      </fieldsUsage>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2939812" createdVersion="5" refreshedVersion="8" minRefreshableVersion="3" recordCount="0" supportSubquery="1" supportAdvancedDrill="1" xr:uid="{C19F828B-D14A-42F4-8119-0480F634E40F}">
  <cacheSource type="external" connectionId="3"/>
  <cacheFields count="4">
    <cacheField name="[Calender_Table].[Date (Month)].[Date (Month)]" caption="Date (Month)" numFmtId="0" hierarchy="1" level="1">
      <sharedItems containsSemiMixedTypes="0" containsNonDate="0" containsString="0"/>
    </cacheField>
    <cacheField name="[Hospital Emergency Room Data  1].[Calculated Column 1].[Calculated Column 1]" caption="Calculated Column 1" numFmtId="0" hierarchy="17" level="1">
      <sharedItems count="2">
        <s v="Delay"/>
        <s v="OnTime"/>
      </sharedItems>
    </cacheField>
    <cacheField name="[Measures].[Count of Patient Id]" caption="Count of Patient Id" numFmtId="0" hierarchy="23" level="32767"/>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2" memberValueDatatype="130" unbalanced="0">
      <fieldsUsage count="2">
        <fieldUsage x="-1"/>
        <fieldUsage x="1"/>
      </fieldsUsage>
    </cacheHierarchy>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3287035" createdVersion="5" refreshedVersion="8" minRefreshableVersion="3" recordCount="0" supportSubquery="1" supportAdvancedDrill="1" xr:uid="{74B544A0-0508-465E-960F-52FB15C90402}">
  <cacheSource type="external" connectionId="3"/>
  <cacheFields count="4">
    <cacheField name="[Calender_Table].[Date (Month)].[Date (Month)]" caption="Date (Month)" numFmtId="0" hierarchy="1" level="1">
      <sharedItems containsSemiMixedTypes="0" containsNonDate="0" containsString="0"/>
    </cacheField>
    <cacheField name="[Hospital Emergency Room Data  1].[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Patient Id]" caption="Count of Patient Id" numFmtId="0" hierarchy="23" level="32767"/>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2" memberValueDatatype="130" unbalanced="0">
      <fieldsUsage count="2">
        <fieldUsage x="-1"/>
        <fieldUsage x="1"/>
      </fieldsUsage>
    </cacheHierarchy>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3634258" createdVersion="5" refreshedVersion="8" minRefreshableVersion="3" recordCount="0" supportSubquery="1" supportAdvancedDrill="1" xr:uid="{0D3A3DE6-A064-4916-BCEF-4A3A6AA26864}">
  <cacheSource type="external" connectionId="3"/>
  <cacheFields count="5">
    <cacheField name="[Calender_Table].[Date (Month)].[Date (Month)]" caption="Date (Month)" numFmtId="0" hierarchy="1" level="1">
      <sharedItems containsSemiMixedTypes="0" containsNonDate="0" containsString="0"/>
    </cacheField>
    <cacheField name="[Hospital Emergency Room Data  1].[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Patient Id]" caption="Count of Patient Id" numFmtId="0" hierarchy="23" level="32767"/>
    <cacheField name="[Hospital Emergency Room Data  1].[Patient Gender].[Patient Gender]" caption="Patient Gender" numFmtId="0" hierarchy="9" level="1">
      <sharedItems count="2">
        <s v="Female"/>
        <s v="Male"/>
      </sharedItems>
    </cacheField>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4"/>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2" memberValueDatatype="130" unbalanced="0">
      <fieldsUsage count="2">
        <fieldUsage x="-1"/>
        <fieldUsage x="3"/>
      </fieldsUsage>
    </cacheHierarchy>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2" memberValueDatatype="130" unbalanced="0">
      <fieldsUsage count="2">
        <fieldUsage x="-1"/>
        <fieldUsage x="1"/>
      </fieldsUsage>
    </cacheHierarchy>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3981481" createdVersion="5" refreshedVersion="8" minRefreshableVersion="3" recordCount="0" supportSubquery="1" supportAdvancedDrill="1" xr:uid="{D25E2C09-DCD7-480D-B015-1D5E34B8C282}">
  <cacheSource type="external" connectionId="3"/>
  <cacheFields count="3">
    <cacheField name="[Calender_Table].[Date (Month)].[Date (Month)]" caption="Date (Month)" numFmtId="0" hierarchy="1" level="1">
      <sharedItems containsSemiMixedTypes="0" containsNonDate="0" containsString="0"/>
    </cacheField>
    <cacheField name="[Hospital Emergency Room Data  1].[Age Group].[Age Group]" caption="Age Group" numFmtId="0" hierarchy="16" level="1">
      <sharedItems count="8">
        <s v="0-9"/>
        <s v="10-19"/>
        <s v="20-29"/>
        <s v="30-39"/>
        <s v="40-49"/>
        <s v="50-59"/>
        <s v="60-69"/>
        <s v="70-79"/>
      </sharedItems>
    </cacheField>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2" memberValueDatatype="130" unbalanced="0">
      <fieldsUsage count="2">
        <fieldUsage x="-1"/>
        <fieldUsage x="1"/>
      </fieldsUsage>
    </cacheHierarchy>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4328705" createdVersion="5" refreshedVersion="8" minRefreshableVersion="3" recordCount="0" supportSubquery="1" supportAdvancedDrill="1" xr:uid="{916E3D88-2C90-44EE-A43A-4AE03A838B1A}">
  <cacheSource type="external" connectionId="3"/>
  <cacheFields count="5">
    <cacheField name="[Calender_Table].[Date (Month)].[Date (Month)]" caption="Date (Month)" numFmtId="0" hierarchy="1" level="1">
      <sharedItems containsSemiMixedTypes="0" containsNonDate="0" containsString="0"/>
    </cacheField>
    <cacheField name="[Measures].[Count of Patient Admission Flag]" caption="Count of Patient Admission Flag" numFmtId="0" hierarchy="32" level="32767"/>
    <cacheField name="[Hospital Emergency Room Data  1].[Patient Admission Flag].[Patient Admission Flag]" caption="Patient Admission Flag" numFmtId="0" hierarchy="13" level="1">
      <sharedItems count="2">
        <s v="Admitted"/>
        <s v="Not Admitted"/>
      </sharedItems>
    </cacheField>
    <cacheField name="[Calender_Table].[Date (Year)].[Date (Year)]" caption="Date (Year)" numFmtId="0" hierarchy="3" level="1">
      <sharedItems containsSemiMixedTypes="0" containsNonDate="0" containsString="0"/>
    </cacheField>
    <cacheField name="Unsupported0" numFmtId="0" hierarchy="35" level="32767">
      <extLst>
        <ext xmlns:x14="http://schemas.microsoft.com/office/spreadsheetml/2009/9/main" uri="{63CAB8AC-B538-458d-9737-405883B0398D}">
          <x14:cacheField ignore="1"/>
        </ext>
      </extLst>
    </cacheField>
  </cacheFields>
  <cacheHierarchies count="36">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2" memberValueDatatype="130" unbalanced="0">
      <fieldsUsage count="2">
        <fieldUsage x="-1"/>
        <fieldUsage x="2"/>
      </fieldsUsage>
    </cacheHierarchy>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4675928" createdVersion="5" refreshedVersion="8" minRefreshableVersion="3" recordCount="0" supportSubquery="1" supportAdvancedDrill="1" xr:uid="{E0D8370F-33C8-4890-A6FC-322F6ABF3981}">
  <cacheSource type="external" connectionId="3"/>
  <cacheFields count="4">
    <cacheField name="[Calender_Table].[Date (Month)].[Date (Month)]" caption="Date (Month)" numFmtId="0" hierarchy="1" level="1">
      <sharedItems containsSemiMixedTypes="0" containsNonDate="0" containsString="0"/>
    </cacheField>
    <cacheField name="[Hospital Emergency Room Data  1].[Age Group].[Age Group]" caption="Age Group" numFmtId="0" hierarchy="16" level="1">
      <sharedItems count="8">
        <s v="0-9"/>
        <s v="10-19"/>
        <s v="20-29"/>
        <s v="30-39"/>
        <s v="40-49"/>
        <s v="50-59"/>
        <s v="60-69"/>
        <s v="70-79"/>
      </sharedItems>
    </cacheField>
    <cacheField name="[Measures].[Count of Age Group]" caption="Count of Age Group" numFmtId="0" hierarchy="33" level="32767"/>
    <cacheField name="[Calender_Table].[Date (Year)].[Date (Year)]" caption="Date (Year)" numFmtId="0" hierarchy="3" level="1">
      <sharedItems containsSemiMixedTypes="0" containsNonDate="0" containsString="0"/>
    </cacheField>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3"/>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2" memberValueDatatype="130" unbalanced="0">
      <fieldsUsage count="2">
        <fieldUsage x="-1"/>
        <fieldUsage x="1"/>
      </fieldsUsage>
    </cacheHierarchy>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5023151" createdVersion="5" refreshedVersion="8" minRefreshableVersion="3" recordCount="0" supportSubquery="1" supportAdvancedDrill="1" xr:uid="{830A9C6C-12DA-4E6A-AE86-926A5AEA7D44}">
  <cacheSource type="external" connectionId="3"/>
  <cacheFields count="3">
    <cacheField name="[Calender_Table].[Date (Month)].[Date (Month)]" caption="Date (Month)" numFmtId="0" hierarchy="1" level="1">
      <sharedItems count="1">
        <s v="May"/>
      </sharedItems>
    </cacheField>
    <cacheField name="[Calender_Table].[Date].[Date]" caption="Date" numFmtId="0" level="1">
      <sharedItems containsSemiMixedTypes="0" containsNonDate="0" containsDate="1" containsString="0" minDate="2023-05-01T00:00:00" maxDate="2023-06-01T00:00:00" count="31">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sharedItems>
    </cacheField>
    <cacheField name="[Calender_Table].[Date (Year)].[Date (Year)]" caption="Date (Year)" numFmtId="0" hierarchy="3" level="1">
      <sharedItems count="1">
        <s v="2023"/>
      </sharedItems>
    </cacheField>
  </cacheFields>
  <cacheHierarchies count="35">
    <cacheHierarchy uniqueName="[Calender_Table].[Date]" caption="Date" attribute="1" time="1" defaultMemberUniqueName="[Calender_Table].[Date].[All]" allUniqueName="[Calender_Table].[Date].[All]" dimensionUniqueName="[Calender_Table]" displayFolder="" count="2" memberValueDatatype="7" unbalanced="0">
      <fieldsUsage count="2">
        <fieldUsage x="-1"/>
        <fieldUsage x="1"/>
      </fieldsUsage>
    </cacheHierarchy>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2"/>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hidden="1">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9.936895370367" createdVersion="5" refreshedVersion="8" minRefreshableVersion="3" recordCount="0" supportSubquery="1" supportAdvancedDrill="1" xr:uid="{515F1D24-8B17-4190-B34C-B1571908465F}">
  <cacheSource type="external" connectionId="3"/>
  <cacheFields count="4">
    <cacheField name="[Calender_Table].[Date (Month)].[Date (Month)]" caption="Date (Month)" numFmtId="0" hierarchy="1" level="1">
      <sharedItems containsSemiMixedTypes="0" containsNonDate="0" containsString="0"/>
    </cacheField>
    <cacheField name="[Calender_Table].[Date (Year)].[Date (Year)]" caption="Date (Year)" numFmtId="0" hierarchy="3" level="1">
      <sharedItems containsSemiMixedTypes="0" containsNonDate="0" containsString="0"/>
    </cacheField>
    <cacheField name="[Hospital Emergency Room Data  1].[Patient Gender].[Patient Gender]" caption="Patient Gender" numFmtId="0" hierarchy="9" level="1">
      <sharedItems count="2">
        <s v="Female"/>
        <s v="Male"/>
      </sharedItems>
    </cacheField>
    <cacheField name="[Measures].[Count of Patient Gender]" caption="Count of Patient Gender" numFmtId="0" hierarchy="34" level="32767"/>
  </cacheFields>
  <cacheHierarchies count="35">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fieldsUsage count="2">
        <fieldUsage x="-1"/>
        <fieldUsage x="0"/>
      </fieldsUsage>
    </cacheHierarchy>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fieldsUsage count="2">
        <fieldUsage x="-1"/>
        <fieldUsage x="1"/>
      </fieldsUsage>
    </cacheHierarchy>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2" memberValueDatatype="130" unbalanced="0">
      <fieldsUsage count="2">
        <fieldUsage x="-1"/>
        <fieldUsage x="2"/>
      </fieldsUsage>
    </cacheHierarchy>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2"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y uniqueName="[Measures].[Count of Patient Gender]" caption="Count of Patient Gender" measure="1" displayFolder="" measureGroup="Hospital Emergency Room Data  1" count="0" oneField="1" hidden="1">
      <fieldsUsage count="1">
        <fieldUsage x="3"/>
      </fieldsUsage>
      <extLst>
        <ext xmlns:x15="http://schemas.microsoft.com/office/spreadsheetml/2010/11/main" uri="{B97F6D7D-B522-45F9-BDA1-12C45D357490}">
          <x15:cacheHierarchy aggregatedColumn="9"/>
        </ext>
      </extLst>
    </cacheHierarchy>
  </cacheHierarchies>
  <kpis count="0"/>
  <dimensions count="3">
    <dimension name="Calender_Table" uniqueName="[Calender_Table]" caption="Calender_Table"/>
    <dimension name="Hospital Emergency Room Data  1" uniqueName="[Hospital Emergency Room Data  1]" caption="Hospital Emergency Room Data  1"/>
    <dimension measure="1" name="Measures" uniqueName="[Measures]" caption="Measures"/>
  </dimensions>
  <measureGroups count="2">
    <measureGroup name="Calender_Table" caption="Calender_Table"/>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117.052621296294" createdVersion="3" refreshedVersion="8" minRefreshableVersion="3" recordCount="0" supportSubquery="1" supportAdvancedDrill="1" xr:uid="{91D48CC2-B306-40EB-8FDB-134D4C0F8C2D}">
  <cacheSource type="external" connectionId="3">
    <extLst>
      <ext xmlns:x14="http://schemas.microsoft.com/office/spreadsheetml/2009/9/main" uri="{F057638F-6D5F-4e77-A914-E7F072B9BCA8}">
        <x14:sourceConnection name="ThisWorkbookDataModel"/>
      </ext>
    </extLst>
  </cacheSource>
  <cacheFields count="0"/>
  <cacheHierarchies count="34">
    <cacheHierarchy uniqueName="[Calender_Table].[Date]" caption="Date" attribute="1" time="1" defaultMemberUniqueName="[Calender_Table].[Date].[All]" allUniqueName="[Calender_Table].[Date].[All]" dimensionUniqueName="[Calender_Table]" displayFolder="" count="0" memberValueDatatype="7" unbalanced="0"/>
    <cacheHierarchy uniqueName="[Calender_Table].[Date (Month)]" caption="Date (Month)" attribute="1" defaultMemberUniqueName="[Calender_Table].[Date (Month)].[All]" allUniqueName="[Calender_Table].[Date (Month)].[All]" dimensionUniqueName="[Calender_Table]" displayFolder="" count="2" memberValueDatatype="130" unbalanced="0"/>
    <cacheHierarchy uniqueName="[Calender_Table].[Date (Day)]" caption="Date (Day)" attribute="1" defaultMemberUniqueName="[Calender_Table].[Date (Day)].[All]" allUniqueName="[Calender_Table].[Date (Day)].[All]" dimensionUniqueName="[Calender_Table]" displayFolder="" count="0" memberValueDatatype="130" unbalanced="0"/>
    <cacheHierarchy uniqueName="[Calender_Table].[Date (Year)]" caption="Date (Year)" attribute="1" defaultMemberUniqueName="[Calender_Table].[Date (Year)].[All]" allUniqueName="[Calender_Table].[Date (Year)].[All]" dimensionUniqueName="[Calender_Table]" displayFolder="" count="2" memberValueDatatype="130" unbalanced="0"/>
    <cacheHierarchy uniqueName="[Calender_Table].[Date (Quarter)]" caption="Date (Quarter)" attribute="1" defaultMemberUniqueName="[Calender_Table].[Date (Quarter)].[All]" allUniqueName="[Calender_Table].[Date (Quarter)].[All]" dimensionUniqueName="[Calender_Table]"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Calculated Column 1]" caption="Calculated Column 1" attribute="1" defaultMemberUniqueName="[Hospital Emergency Room Data  1].[Calculated Column 1].[All]" allUniqueName="[Hospital Emergency Room Data  1].[Calculated Column 1].[All]" dimensionUniqueName="[Hospital Emergency Room Data  1]" displayFolder="" count="0" memberValueDatatype="130" unbalanced="0"/>
    <cacheHierarchy uniqueName="[Calender_Table].[Date (Day Index)]" caption="Date (Day Index)" attribute="1" defaultMemberUniqueName="[Calender_Table].[Date (Day Index)].[All]" allUniqueName="[Calender_Table].[Date (Day Index)].[All]" dimensionUniqueName="[Calender_Table]" displayFolder="" count="0" memberValueDatatype="5" unbalanced="0" hidden="1"/>
    <cacheHierarchy uniqueName="[Calender_Table].[Date (Month Index)]" caption="Date (Month Index)" attribute="1" defaultMemberUniqueName="[Calender_Table].[Date (Month Index)].[All]" allUniqueName="[Calender_Table].[Date (Month Index)].[All]" dimensionUniqueName="[Calender_Table]" displayFolder="" count="0" memberValueDatatype="20" unbalanced="0" hidden="1"/>
    <cacheHierarchy uniqueName="[Measures].[__XL_Count Calender_Table]" caption="__XL_Count Calender_Table" measure="1" displayFolder="" measureGroup="Calender_Table" count="0" hidden="1"/>
    <cacheHierarchy uniqueName="[Measures].[__XL_Count Hospital Emergency Room Data  1]" caption="__XL_Count Hospital Emergency Room Data  1" measure="1" displayFolder="" measureGroup="Hospital Emergency Room Data  1"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Count of Department Referral]" caption="Count of Department Referral" measure="1" displayFolder="" measureGroup="Hospital Emergency Room Data  1" count="0" hidden="1">
      <extLst>
        <ext xmlns:x15="http://schemas.microsoft.com/office/spreadsheetml/2010/11/main" uri="{B97F6D7D-B522-45F9-BDA1-12C45D357490}">
          <x15:cacheHierarchy aggregatedColumn="12"/>
        </ext>
      </extLst>
    </cacheHierarchy>
    <cacheHierarchy uniqueName="[Measures].[Count of Calculated Column 1]" caption="Count of Calculated Column 1" measure="1" displayFolder="" measureGroup="Hospital Emergency Room Data  1" count="0" hidden="1">
      <extLst>
        <ext xmlns:x15="http://schemas.microsoft.com/office/spreadsheetml/2010/11/main" uri="{B97F6D7D-B522-45F9-BDA1-12C45D357490}">
          <x15:cacheHierarchy aggregatedColumn="17"/>
        </ext>
      </extLst>
    </cacheHierarchy>
    <cacheHierarchy uniqueName="[Measures].[Count of Patient Race]" caption="Count of Patient Race" measure="1" displayFolder="" measureGroup="Hospital Emergency Room Data  1" count="0" hidden="1">
      <extLst>
        <ext xmlns:x15="http://schemas.microsoft.com/office/spreadsheetml/2010/11/main" uri="{B97F6D7D-B522-45F9-BDA1-12C45D357490}">
          <x15:cacheHierarchy aggregatedColumn="11"/>
        </ext>
      </extLst>
    </cacheHierarchy>
    <cacheHierarchy uniqueName="[Measures].[Count of Patient Admission Flag]" caption="Count of Patient Admission Flag" measure="1" displayFolder="" measureGroup="Hospital Emergency Room Data  1"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1" count="0" hidden="1">
      <extLst>
        <ext xmlns:x15="http://schemas.microsoft.com/office/spreadsheetml/2010/11/main" uri="{B97F6D7D-B522-45F9-BDA1-12C45D357490}">
          <x15:cacheHierarchy aggregatedColumn="16"/>
        </ext>
      </extLst>
    </cacheHierarchy>
  </cacheHierarchies>
  <kpis count="0"/>
  <extLst>
    <ext xmlns:x14="http://schemas.microsoft.com/office/spreadsheetml/2009/9/main" uri="{725AE2AE-9491-48be-B2B4-4EB974FC3084}">
      <x14:pivotCacheDefinition slicerData="1" pivotCacheId="55263329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6D5004-E569-4753-BAF0-8E7B67F33A26}" name="PivotTable14" cacheId="12" applyNumberFormats="0" applyBorderFormats="0" applyFontFormats="0" applyPatternFormats="0" applyAlignmentFormats="0" applyWidthHeightFormats="1" dataCaption="Values" tag="8b5bfb72-df1f-47a2-a988-0a857c803398" updatedVersion="8" minRefreshableVersion="3" subtotalHiddenItems="1" itemPrintTitles="1" createdVersion="5" indent="0" outline="1" outlineData="1" multipleFieldFilters="0" chartFormat="4">
  <location ref="D54:D88" firstHeaderRow="1" firstDataRow="1" firstDataCol="1"/>
  <pivotFields count="3">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allDrilled="1" subtotalTop="0" showAll="0" dataSourceSort="1" defaultSubtotal="0" defaultAttributeDrillState="1">
      <items count="1">
        <item s="1" x="0"/>
      </items>
    </pivotField>
  </pivotFields>
  <rowFields count="3">
    <field x="2"/>
    <field x="0"/>
    <field x="1"/>
  </rowFields>
  <rowItems count="34">
    <i>
      <x/>
    </i>
    <i r="1">
      <x/>
    </i>
    <i r="2">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r="2">
      <x v="24"/>
    </i>
    <i r="2">
      <x v="25"/>
    </i>
    <i r="2">
      <x v="26"/>
    </i>
    <i r="2">
      <x v="27"/>
    </i>
    <i r="2">
      <x v="28"/>
    </i>
    <i r="2">
      <x v="29"/>
    </i>
    <i r="2">
      <x v="30"/>
    </i>
    <i t="grand">
      <x/>
    </i>
  </rowItems>
  <formats count="1">
    <format dxfId="0">
      <pivotArea outline="0" collapsedLevelsAreSubtotals="1" fieldPosition="0"/>
    </format>
  </formats>
  <pivotHierarchies count="35">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Patient wait TIme"/>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3">
    <rowHierarchyUsage hierarchyUsage="3"/>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5A25FA-4AB8-4257-A322-39A33A1A5BF7}" name="PivotTable2" cacheId="1" applyNumberFormats="0" applyBorderFormats="0" applyFontFormats="0" applyPatternFormats="0" applyAlignmentFormats="0" applyWidthHeightFormats="1" dataCaption="Values" tag="042ff592-e094-431c-8b90-f35c59d7293d" updatedVersion="8" minRefreshableVersion="3" subtotalHiddenItems="1" itemPrintTitles="1" createdVersion="5" indent="0" outline="1" outlineData="1" multipleFieldFilters="0">
  <location ref="A1:A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o. Of Patient Id"/>
    <pivotHierarchy dragToData="1"/>
    <pivotHierarchy dragToData="1"/>
    <pivotHierarchy dragToData="1"/>
    <pivotHierarchy dragToData="1"/>
    <pivotHierarchy dragToData="1" caption="Distinct Count of Patient 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156A70-765E-4C0E-9531-61A2CA405E8B}" name="PivotTable4" cacheId="3" applyNumberFormats="0" applyBorderFormats="0" applyFontFormats="0" applyPatternFormats="0" applyAlignmentFormats="0" applyWidthHeightFormats="1" dataCaption="Values" tag="6671025b-1d40-46ba-9b95-699f1420715f" updatedVersion="8" minRefreshableVersion="3" subtotalHiddenItems="1" itemPrintTitles="1" createdVersion="5" indent="0" outline="1" outlineData="1" multipleFieldFilters="0" chartFormat="1">
  <location ref="A10:A11"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1">
      <pivotArea outline="0" collapsedLevelsAreSubtotals="1" fieldPosition="0"/>
    </format>
  </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Patient wait TIme"/>
    <pivotHierarchy dragToData="1"/>
    <pivotHierarchy dragToData="1" caption="Satification Scor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B361931-E831-4797-B2AB-B7F8EFBC1F6B}" name="PivotTable11" cacheId="9" applyNumberFormats="0" applyBorderFormats="0" applyFontFormats="0" applyPatternFormats="0" applyAlignmentFormats="0" applyWidthHeightFormats="1" dataCaption="Values" tag="7089a8bc-27fa-469c-827f-72df34fa987a" updatedVersion="8" minRefreshableVersion="3" subtotalHiddenItems="1" itemPrintTitles="1" createdVersion="5" indent="0" outline="1" outlineData="1" multipleFieldFilters="0" chartFormat="32">
  <location ref="T14:T23" firstHeaderRow="1" firstDataRow="1" firstDataCol="1"/>
  <pivotFields count="3">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1">
    <field x="1"/>
  </rowFields>
  <rowItems count="9">
    <i>
      <x/>
    </i>
    <i>
      <x v="1"/>
    </i>
    <i>
      <x v="2"/>
    </i>
    <i>
      <x v="3"/>
    </i>
    <i>
      <x v="4"/>
    </i>
    <i>
      <x v="5"/>
    </i>
    <i>
      <x v="6"/>
    </i>
    <i>
      <x v="7"/>
    </i>
    <i t="grand">
      <x/>
    </i>
  </rowItems>
  <formats count="1">
    <format dxfId="2">
      <pivotArea outline="0" collapsedLevelsAreSubtotals="1" fieldPosition="0"/>
    </format>
  </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o. Of Patient Id"/>
    <pivotHierarchy dragToData="1"/>
    <pivotHierarchy dragToData="1" caption="Average of Patient Waittime"/>
    <pivotHierarchy dragToData="1"/>
    <pivotHierarchy dragToData="1"/>
    <pivotHierarchy dragToData="1" caption="Distinct Count of Patient 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EF9F82-13EA-4D85-B73E-55964F29695D}" name="PivotTable5" cacheId="0" applyNumberFormats="0" applyBorderFormats="0" applyFontFormats="0" applyPatternFormats="0" applyAlignmentFormats="0" applyWidthHeightFormats="1" dataCaption="Values" tag="33a2e878-94e5-45bd-b842-74c70c82c8b0" updatedVersion="8" minRefreshableVersion="3" subtotalHiddenItems="1" itemPrintTitles="1" createdVersion="5" indent="0" outline="1" outlineData="1" multipleFieldFilters="0" chartFormat="14">
  <location ref="C3:D35" firstHeaderRow="1" firstDataRow="1" firstDataCol="1"/>
  <pivotFields count="4">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3">
    <chartFormat chart="5" format="4"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o. Of Patient Id"/>
    <pivotHierarchy dragToData="1"/>
    <pivotHierarchy dragToData="1"/>
    <pivotHierarchy dragToData="1"/>
    <pivotHierarchy dragToData="1"/>
    <pivotHierarchy dragToData="1" caption="Distinct Count of Patient 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CD09E64-5B62-486F-99C9-D87C28EB48C1}" name="PivotTable7" cacheId="5" applyNumberFormats="0" applyBorderFormats="0" applyFontFormats="0" applyPatternFormats="0" applyAlignmentFormats="0" applyWidthHeightFormats="1" dataCaption="Values" tag="cceb3b98-ed60-47ea-8522-e76252cbbce3" updatedVersion="8" minRefreshableVersion="3" subtotalHiddenItems="1" itemPrintTitles="1" createdVersion="5" indent="0" outline="1" outlineData="1" multipleFieldFilters="0" chartFormat="27">
  <location ref="M2:N33"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Sum of Patient Satisfaction Score" fld="2" baseField="0" baseItem="0" numFmtId="1"/>
  </dataFields>
  <formats count="1">
    <format dxfId="3">
      <pivotArea outline="0" collapsedLevelsAreSubtotals="1" fieldPosition="0"/>
    </format>
  </formats>
  <chartFormats count="2">
    <chartFormat chart="22" format="2"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o. Of Patient Id"/>
    <pivotHierarchy dragToData="1"/>
    <pivotHierarchy dragToData="1" caption="Average of Patient Waittime"/>
    <pivotHierarchy dragToData="1"/>
    <pivotHierarchy dragToData="1"/>
    <pivotHierarchy dragToData="1" caption="Distinct Count of Patient 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6AD5B95-EF66-4B37-AA5B-020A1C8A60AD}" name="PivotTable9" cacheId="7" applyNumberFormats="0" applyBorderFormats="0" applyFontFormats="0" applyPatternFormats="0" applyAlignmentFormats="0" applyWidthHeightFormats="1" dataCaption="Values" tag="f7c0500a-bfc9-478d-96a1-1445e950d761" updatedVersion="8" minRefreshableVersion="3" subtotalHiddenItems="1" itemPrintTitles="1" createdVersion="5" indent="0" outline="1" outlineData="1" multipleFieldFilters="0" chartFormat="30">
  <location ref="T2:U11" firstHeaderRow="1" firstDataRow="1" firstDataCol="1"/>
  <pivotFields count="4">
    <pivotField allDrilled="1" subtotalTop="0" showAll="0" dataSourceSort="1" defaultSubtotal="0" defaultAttributeDrillState="1"/>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9">
    <i>
      <x v="7"/>
    </i>
    <i>
      <x v="3"/>
    </i>
    <i>
      <x/>
    </i>
    <i>
      <x v="1"/>
    </i>
    <i>
      <x v="6"/>
    </i>
    <i>
      <x v="5"/>
    </i>
    <i>
      <x v="2"/>
    </i>
    <i>
      <x v="4"/>
    </i>
    <i t="grand">
      <x/>
    </i>
  </rowItems>
  <colItems count="1">
    <i/>
  </colItems>
  <dataFields count="1">
    <dataField name="Count of Patient Id" fld="2" subtotal="count" baseField="0" baseItem="0"/>
  </dataFields>
  <formats count="2">
    <format dxfId="5">
      <pivotArea outline="0" collapsedLevelsAreSubtotals="1" fieldPosition="0"/>
    </format>
    <format dxfId="4">
      <pivotArea collapsedLevelsAreSubtotals="1" fieldPosition="0">
        <references count="1">
          <reference field="1" count="0"/>
        </references>
      </pivotArea>
    </format>
  </formats>
  <chartFormats count="1">
    <chartFormat chart="28" format="2"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o. Of Patient Id"/>
    <pivotHierarchy dragToData="1"/>
    <pivotHierarchy dragToData="1" caption="Average of Patient Waittime"/>
    <pivotHierarchy dragToData="1"/>
    <pivotHierarchy dragToData="1"/>
    <pivotHierarchy dragToData="1" caption="Distinct Count of Patient 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1435DED-FB2E-414E-A61E-4E9E7A765256}" name="PivotTable10" cacheId="8" applyNumberFormats="0" applyBorderFormats="0" applyFontFormats="0" applyPatternFormats="0" applyAlignmentFormats="0" applyWidthHeightFormats="1" dataCaption="Values" tag="069ff712-577f-4e85-98a5-bdbc66633485" updatedVersion="8" minRefreshableVersion="3" subtotalHiddenItems="1" itemPrintTitles="1" createdVersion="5" indent="0" outline="1" outlineData="1" multipleFieldFilters="0" chartFormat="40">
  <location ref="Q12:R15" firstHeaderRow="1" firstDataRow="1" firstDataCol="1"/>
  <pivotFields count="5">
    <pivotField allDrilled="1" subtotalTop="0" showAll="0" dataSourceSort="1" defaultSubtotal="0" defaultAttributeDrillState="1"/>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3"/>
  </rowFields>
  <rowItems count="3">
    <i>
      <x/>
    </i>
    <i>
      <x v="1"/>
    </i>
    <i t="grand">
      <x/>
    </i>
  </rowItems>
  <colItems count="1">
    <i/>
  </colItems>
  <dataFields count="1">
    <dataField name="Count of Patient Id" fld="2" subtotal="count" baseField="0" baseItem="0"/>
  </dataFields>
  <formats count="2">
    <format dxfId="7">
      <pivotArea outline="0" collapsedLevelsAreSubtotals="1" fieldPosition="0"/>
    </format>
    <format dxfId="6">
      <pivotArea collapsedLevelsAreSubtotals="1" fieldPosition="0">
        <references count="1">
          <reference field="3" count="0"/>
        </references>
      </pivotArea>
    </format>
  </formats>
  <chartFormats count="2">
    <chartFormat chart="25"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o. Of Patient Id"/>
    <pivotHierarchy dragToData="1"/>
    <pivotHierarchy dragToData="1" caption="Average of Patient Waittime"/>
    <pivotHierarchy dragToData="1"/>
    <pivotHierarchy dragToData="1"/>
    <pivotHierarchy dragToData="1" caption="Distinct Count of Patient 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D6B2E29-4547-40FF-B350-C9F38C2708F5}" name="PivotTable12" cacheId="10" applyNumberFormats="0" applyBorderFormats="0" applyFontFormats="0" applyPatternFormats="0" applyAlignmentFormats="0" applyWidthHeightFormats="1" dataCaption="Values" tag="42ecde26-4de9-42d7-9ec1-42e8655bd095" updatedVersion="8" minRefreshableVersion="3" subtotalHiddenItems="1" itemPrintTitles="1" createdVersion="5" indent="0" outline="1" outlineData="1" multipleFieldFilters="0" chartFormat="5">
  <location ref="A40:C43" firstHeaderRow="0" firstDataRow="1" firstDataCol="1"/>
  <pivotFields count="5">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3">
    <i>
      <x/>
    </i>
    <i>
      <x v="1"/>
    </i>
    <i t="grand">
      <x/>
    </i>
  </rowItems>
  <colFields count="1">
    <field x="-2"/>
  </colFields>
  <colItems count="2">
    <i>
      <x/>
    </i>
    <i i="1">
      <x v="1"/>
    </i>
  </colItems>
  <dataFields count="2">
    <dataField name="Count of Patient Admission Flag" fld="1" subtotal="count" baseField="0" baseItem="0"/>
    <dataField name="Count of Patient Admission Flag2" fld="4" subtotal="count" showDataAs="percentOfTotal" baseField="0" baseItem="0" numFmtId="10">
      <extLst>
        <ext xmlns:x14="http://schemas.microsoft.com/office/spreadsheetml/2009/9/main" uri="{E15A36E0-9728-4e99-A89B-3F7291B0FE68}">
          <x14:dataField sourceField="1" uniqueName="[__Xl2].[Measures].[Count of Patient Admission Flag]"/>
        </ext>
      </extLst>
    </dataField>
  </dataFields>
  <formats count="3">
    <format dxfId="10">
      <pivotArea outline="0" collapsedLevelsAreSubtotals="1" fieldPosition="0"/>
    </format>
    <format dxfId="9">
      <pivotArea collapsedLevelsAreSubtotals="1" fieldPosition="0">
        <references count="1">
          <reference field="2" count="0"/>
        </references>
      </pivotArea>
    </format>
    <format dxfId="8">
      <pivotArea outline="0" fieldPosition="0">
        <references count="1">
          <reference field="4294967294" count="1">
            <x v="1"/>
          </reference>
        </references>
      </pivotArea>
    </format>
  </format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s>
  <pivotHierarchies count="36">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Patient wait TIme"/>
    <pivotHierarchy dragToData="1"/>
    <pivotHierarchy dragToData="1" caption="Satification Scor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3AFDE46-2DAC-42F5-9C4E-88158A96E7CF}" name="PivotTable13" cacheId="11" applyNumberFormats="0" applyBorderFormats="0" applyFontFormats="0" applyPatternFormats="0" applyAlignmentFormats="0" applyWidthHeightFormats="1" dataCaption="Values" tag="301a46f1-6035-4caf-9f2c-d6a5eadd0ac6" updatedVersion="8" minRefreshableVersion="3" subtotalHiddenItems="1" itemPrintTitles="1" createdVersion="5" indent="0" outline="1" outlineData="1" multipleFieldFilters="0" chartFormat="4">
  <location ref="A54:B63" firstHeaderRow="1" firstDataRow="1" firstDataCol="1"/>
  <pivotFields count="4">
    <pivotField allDrilled="1" subtotalTop="0" showAll="0" dataSourceSort="1" defaultSubtotal="0" defaultAttributeDrillState="1"/>
    <pivotField axis="axisRow" allDrilled="1" subtotalTop="0" showAll="0"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Age Group" fld="2" subtotal="count" baseField="0" baseItem="0"/>
  </dataFields>
  <formats count="2">
    <format dxfId="12">
      <pivotArea outline="0" collapsedLevelsAreSubtotals="1" fieldPosition="0"/>
    </format>
    <format dxfId="11">
      <pivotArea collapsedLevelsAreSubtotals="1" fieldPosition="0">
        <references count="1">
          <reference field="1"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Patient wait TIme"/>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B27CE9D-C1B5-474B-9E52-06F44308CE88}" name="PivotTable6" cacheId="4" applyNumberFormats="0" applyBorderFormats="0" applyFontFormats="0" applyPatternFormats="0" applyAlignmentFormats="0" applyWidthHeightFormats="1" dataCaption="Values" tag="e86a79ba-2030-4558-aa44-fc03bfda1bae" updatedVersion="8" minRefreshableVersion="3" subtotalHiddenItems="1" itemPrintTitles="1" createdVersion="5" indent="0" outline="1" outlineData="1" multipleFieldFilters="0" chartFormat="21">
  <location ref="H2:I34" firstHeaderRow="1" firstDataRow="1" firstDataCol="1"/>
  <pivotFields count="4">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Waittime" fld="2" subtotal="average" baseField="0" baseItem="0" numFmtId="2"/>
  </dataFields>
  <formats count="1">
    <format dxfId="13">
      <pivotArea outline="0" collapsedLevelsAreSubtotals="1" fieldPosition="0"/>
    </format>
  </formats>
  <chartFormats count="2">
    <chartFormat chart="15" format="2" series="1">
      <pivotArea type="data" outline="0" fieldPosition="0">
        <references count="1">
          <reference field="4294967294" count="1" selected="0">
            <x v="0"/>
          </reference>
        </references>
      </pivotArea>
    </chartFormat>
    <chartFormat chart="17" format="4" series="1">
      <pivotArea type="data" outline="0" fieldPosition="0">
        <references count="1">
          <reference field="4294967294" count="1" selected="0">
            <x v="0"/>
          </reference>
        </references>
      </pivotArea>
    </chartFormat>
  </chart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o. Of Patient Id"/>
    <pivotHierarchy dragToData="1"/>
    <pivotHierarchy dragToData="1" caption="Average of Patient Waittime"/>
    <pivotHierarchy dragToData="1"/>
    <pivotHierarchy dragToData="1"/>
    <pivotHierarchy dragToData="1" caption="Distinct Count of Patient 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F5849C5-0098-4A15-8158-6EF563106DE0}" name="PivotTable3" cacheId="2" applyNumberFormats="0" applyBorderFormats="0" applyFontFormats="0" applyPatternFormats="0" applyAlignmentFormats="0" applyWidthHeightFormats="1" dataCaption="Values" tag="fb1a9a77-2d80-498c-9acf-925f00b61921" updatedVersion="8" minRefreshableVersion="3" subtotalHiddenItems="1" itemPrintTitles="1" createdVersion="5" indent="0" outline="1" outlineData="1" multipleFieldFilters="0">
  <location ref="A5:A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14">
      <pivotArea outline="0" collapsedLevelsAreSubtotals="1" fieldPosition="0"/>
    </format>
  </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Patient wait TIme"/>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C3CB617-91B0-46F3-973A-E2BAC851D850}" name="PivotTable15" cacheId="13" applyNumberFormats="0" applyBorderFormats="0" applyFontFormats="0" applyPatternFormats="0" applyAlignmentFormats="0" applyWidthHeightFormats="1" dataCaption="Values" tag="81553585-0629-4fab-ad37-23487d3702fe" updatedVersion="8" minRefreshableVersion="3" subtotalHiddenItems="1" itemPrintTitles="1" createdVersion="5" indent="0" outline="1" outlineData="1" multipleFieldFilters="0" chartFormat="8">
  <location ref="K54:L57" firstHeaderRow="1" firstDataRow="1" firstDataCol="1"/>
  <pivotFields count="4">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s>
  <rowFields count="1">
    <field x="2"/>
  </rowFields>
  <rowItems count="3">
    <i>
      <x/>
    </i>
    <i>
      <x v="1"/>
    </i>
    <i t="grand">
      <x/>
    </i>
  </rowItems>
  <colItems count="1">
    <i/>
  </colItems>
  <dataFields count="1">
    <dataField name="Count of Patient Gender" fld="3" subtotal="count" baseField="0" baseItem="0"/>
  </dataFields>
  <formats count="2">
    <format dxfId="16">
      <pivotArea outline="0" collapsedLevelsAreSubtotals="1" fieldPosition="0"/>
    </format>
    <format dxfId="15">
      <pivotArea collapsedLevelsAreSubtotals="1" fieldPosition="0">
        <references count="1">
          <reference field="2" count="0"/>
        </references>
      </pivotArea>
    </format>
  </formats>
  <chartFormats count="6">
    <chartFormat chart="4"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2" count="1" selected="0">
            <x v="0"/>
          </reference>
        </references>
      </pivotArea>
    </chartFormat>
    <chartFormat chart="7" format="6">
      <pivotArea type="data" outline="0" fieldPosition="0">
        <references count="2">
          <reference field="4294967294" count="1" selected="0">
            <x v="0"/>
          </reference>
          <reference field="2" count="1" selected="0">
            <x v="1"/>
          </reference>
        </references>
      </pivotArea>
    </chartFormat>
    <chartFormat chart="4" format="1">
      <pivotArea type="data" outline="0" fieldPosition="0">
        <references count="2">
          <reference field="4294967294" count="1" selected="0">
            <x v="0"/>
          </reference>
          <reference field="2" count="1" selected="0">
            <x v="0"/>
          </reference>
        </references>
      </pivotArea>
    </chartFormat>
    <chartFormat chart="4" format="2">
      <pivotArea type="data" outline="0" fieldPosition="0">
        <references count="2">
          <reference field="4294967294" count="1" selected="0">
            <x v="0"/>
          </reference>
          <reference field="2" count="1" selected="0">
            <x v="1"/>
          </reference>
        </references>
      </pivotArea>
    </chartFormat>
  </chart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Patient wait TIme"/>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5732648-DD1B-4FEA-8F8C-B1738CF2EE2B}" name="PivotTable8" cacheId="6" applyNumberFormats="0" applyBorderFormats="0" applyFontFormats="0" applyPatternFormats="0" applyAlignmentFormats="0" applyWidthHeightFormats="1" dataCaption="Values" tag="81132129-034a-4f15-bddb-6d24bc18729e" updatedVersion="8" minRefreshableVersion="3" subtotalHiddenItems="1" itemPrintTitles="1" createdVersion="5" indent="0" outline="1" outlineData="1" multipleFieldFilters="0" chartFormat="32">
  <location ref="P2:Q5"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Id" fld="2" subtotal="count" baseField="0" baseItem="0"/>
  </dataFields>
  <formats count="2">
    <format dxfId="18">
      <pivotArea outline="0" collapsedLevelsAreSubtotals="1" fieldPosition="0"/>
    </format>
    <format dxfId="17">
      <pivotArea collapsedLevelsAreSubtotals="1" fieldPosition="0">
        <references count="1">
          <reference field="1" count="0"/>
        </references>
      </pivotArea>
    </format>
  </formats>
  <chartFormats count="3">
    <chartFormat chart="30" format="4" series="1">
      <pivotArea type="data" outline="0" fieldPosition="0">
        <references count="1">
          <reference field="4294967294" count="1" selected="0">
            <x v="0"/>
          </reference>
        </references>
      </pivotArea>
    </chartFormat>
    <chartFormat chart="30" format="5">
      <pivotArea type="data" outline="0" fieldPosition="0">
        <references count="2">
          <reference field="4294967294" count="1" selected="0">
            <x v="0"/>
          </reference>
          <reference field="1" count="1" selected="0">
            <x v="0"/>
          </reference>
        </references>
      </pivotArea>
    </chartFormat>
    <chartFormat chart="30" format="6">
      <pivotArea type="data" outline="0" fieldPosition="0">
        <references count="2">
          <reference field="4294967294" count="1" selected="0">
            <x v="0"/>
          </reference>
          <reference field="1" count="1" selected="0">
            <x v="1"/>
          </reference>
        </references>
      </pivotArea>
    </chartFormat>
  </chartFormats>
  <pivotHierarchies count="35">
    <pivotHierarchy dragToData="1"/>
    <pivotHierarchy multipleItemSelectionAllowed="1" dragToData="1">
      <members count="1" level="1">
        <member name="[Calender_Table].[Date (Month)].&amp;[May]"/>
      </members>
    </pivotHierarchy>
    <pivotHierarchy dragToData="1"/>
    <pivotHierarchy multipleItemSelectionAllowed="1" dragToData="1">
      <members count="1" level="1">
        <member name="[Calender_Table].[Date (Year)].&amp;[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No. Of Patient Id"/>
    <pivotHierarchy dragToData="1"/>
    <pivotHierarchy dragToData="1" caption="Average of Patient Waittime"/>
    <pivotHierarchy dragToData="1"/>
    <pivotHierarchy dragToData="1"/>
    <pivotHierarchy dragToData="1" caption="Distinct Count of Patient Id"/>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er_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1435EA21-D55E-49F3-A5F3-823E77C68371}" sourceName="[Calender_Table].[Date (Month)]">
  <pivotTables>
    <pivotTable tabId="3" name="PivotTable5"/>
    <pivotTable tabId="3" name="PivotTable2"/>
    <pivotTable tabId="3" name="PivotTable3"/>
    <pivotTable tabId="3" name="PivotTable4"/>
    <pivotTable tabId="3" name="PivotTable6"/>
    <pivotTable tabId="3" name="PivotTable7"/>
    <pivotTable tabId="3" name="PivotTable8"/>
    <pivotTable tabId="3" name="PivotTable9"/>
    <pivotTable tabId="3" name="PivotTable10"/>
    <pivotTable tabId="3" name="PivotTable11"/>
    <pivotTable tabId="3" name="PivotTable12"/>
    <pivotTable tabId="3" name="PivotTable13"/>
    <pivotTable tabId="3" name="PivotTable14"/>
    <pivotTable tabId="3" name="PivotTable15"/>
  </pivotTables>
  <data>
    <olap pivotCacheId="552633295">
      <levels count="2">
        <level uniqueName="[Calender_Table].[Date (Month)].[(All)]" sourceCaption="(All)" count="0"/>
        <level uniqueName="[Calender_Table].[Date (Month)].[Date (Month)]" sourceCaption="Date (Month)" count="12">
          <ranges>
            <range startItem="0">
              <i n="[Calender_Table].[Date (Month)].&amp;[Apr]" c="Apr"/>
              <i n="[Calender_Table].[Date (Month)].&amp;[May]" c="May"/>
              <i n="[Calender_Table].[Date (Month)].&amp;[Jun]" c="Jun"/>
              <i n="[Calender_Table].[Date (Month)].&amp;[Jul]" c="Jul"/>
              <i n="[Calender_Table].[Date (Month)].&amp;[Aug]" c="Aug"/>
              <i n="[Calender_Table].[Date (Month)].&amp;[Sep]" c="Sep"/>
              <i n="[Calender_Table].[Date (Month)].&amp;[Oct]" c="Oct"/>
              <i n="[Calender_Table].[Date (Month)].&amp;[Nov]" c="Nov"/>
              <i n="[Calender_Table].[Date (Month)].&amp;[Dec]" c="Dec"/>
              <i n="[Calender_Table].[Date (Month)].&amp;[Jan]" c="Jan"/>
              <i n="[Calender_Table].[Date (Month)].&amp;[Feb]" c="Feb"/>
              <i n="[Calender_Table].[Date (Month)].&amp;[Mar]" c="Mar"/>
            </range>
          </ranges>
        </level>
      </levels>
      <selections count="1">
        <selection n="[Calender_Table].[Date (Month)].&amp;[May]"/>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FB72F311-E1AD-4DE5-8869-3B3D22FD41B4}" sourceName="[Calender_Table].[Date (Year)]">
  <pivotTables>
    <pivotTable tabId="3" name="PivotTable14"/>
    <pivotTable tabId="3" name="PivotTable10"/>
    <pivotTable tabId="3" name="PivotTable11"/>
    <pivotTable tabId="3" name="PivotTable12"/>
    <pivotTable tabId="3" name="PivotTable13"/>
    <pivotTable tabId="3" name="PivotTable2"/>
    <pivotTable tabId="3" name="PivotTable3"/>
    <pivotTable tabId="3" name="PivotTable4"/>
    <pivotTable tabId="3" name="PivotTable5"/>
    <pivotTable tabId="3" name="PivotTable6"/>
    <pivotTable tabId="3" name="PivotTable7"/>
    <pivotTable tabId="3" name="PivotTable8"/>
    <pivotTable tabId="3" name="PivotTable9"/>
    <pivotTable tabId="3" name="PivotTable15"/>
  </pivotTables>
  <data>
    <olap pivotCacheId="552633295">
      <levels count="2">
        <level uniqueName="[Calender_Table].[Date (Year)].[(All)]" sourceCaption="(All)" count="0"/>
        <level uniqueName="[Calender_Table].[Date (Year)].[Date (Year)]" sourceCaption="Date (Year)" count="2">
          <ranges>
            <range startItem="0">
              <i n="[Calender_Table].[Date (Year)].&amp;[2023]" c="2023"/>
              <i n="[Calender_Table].[Date (Year)].&amp;[2024]" c="2024"/>
            </range>
          </ranges>
        </level>
      </levels>
      <selections count="1">
        <selection n="[Calender_Table].[Date (Year)].&amp;[2023]"/>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Year)" xr10:uid="{223E5785-1E9C-470C-804B-D0D16EFFF9EE}" cache="Slicer_Date__Year" caption="Date (Year)" columnCount="2" showCaption="0"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F54C117B-5091-400B-8303-752266D334B2}" cache="Slicer_Date__Month" caption="Date (Month)" showCaption="0" level="1" style="My Slicer" rowHeight="180000"/>
  <slicer name="Date (Year) 1" xr10:uid="{1FEDBF94-F980-44EC-AA11-CC28390E7E4C}" cache="Slicer_Date__Year" caption="Date (Year)" columnCount="2" showCaption="0" level="1" style="My Slice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microsoft.com/office/2007/relationships/slicer" Target="../slicers/slicer1.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12594-1CBE-49A7-9452-C363742D7401}">
  <dimension ref="A1"/>
  <sheetViews>
    <sheetView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4AF91-E4F4-4827-AF1E-B9CC330DC20B}">
  <dimension ref="A1:U88"/>
  <sheetViews>
    <sheetView topLeftCell="A43" zoomScale="93" workbookViewId="0">
      <selection activeCell="E51" sqref="E51"/>
    </sheetView>
  </sheetViews>
  <sheetFormatPr defaultRowHeight="14.4" x14ac:dyDescent="0.3"/>
  <cols>
    <col min="1" max="1" width="19.33203125" customWidth="1"/>
    <col min="2" max="2" width="12.77734375" customWidth="1"/>
    <col min="3" max="3" width="17.88671875" customWidth="1"/>
    <col min="4" max="4" width="27.6640625" customWidth="1"/>
    <col min="12" max="12" width="10.5546875" bestFit="1" customWidth="1"/>
    <col min="13" max="13" width="13" bestFit="1" customWidth="1"/>
    <col min="14" max="14" width="26.33203125" bestFit="1" customWidth="1"/>
    <col min="16" max="16" width="13" bestFit="1" customWidth="1"/>
    <col min="17" max="17" width="15.77734375" bestFit="1" customWidth="1"/>
    <col min="18" max="18" width="17.109375" bestFit="1" customWidth="1"/>
    <col min="20" max="20" width="13" bestFit="1" customWidth="1"/>
    <col min="21" max="21" width="29.21875" bestFit="1" customWidth="1"/>
  </cols>
  <sheetData>
    <row r="1" spans="1:21" x14ac:dyDescent="0.3">
      <c r="A1" t="s">
        <v>21</v>
      </c>
    </row>
    <row r="2" spans="1:21" x14ac:dyDescent="0.3">
      <c r="A2">
        <v>480</v>
      </c>
      <c r="H2" s="3" t="s">
        <v>0</v>
      </c>
      <c r="I2" t="s">
        <v>18</v>
      </c>
      <c r="M2" s="3" t="s">
        <v>0</v>
      </c>
      <c r="N2" t="s">
        <v>19</v>
      </c>
      <c r="P2" s="3" t="s">
        <v>0</v>
      </c>
      <c r="Q2" t="s">
        <v>2</v>
      </c>
      <c r="T2" s="3" t="s">
        <v>0</v>
      </c>
      <c r="U2" t="s">
        <v>2</v>
      </c>
    </row>
    <row r="3" spans="1:21" x14ac:dyDescent="0.3">
      <c r="C3" s="3" t="s">
        <v>0</v>
      </c>
      <c r="D3" t="s">
        <v>21</v>
      </c>
      <c r="H3" s="4" t="s">
        <v>39</v>
      </c>
      <c r="I3" s="6">
        <v>31.5</v>
      </c>
      <c r="M3" s="4" t="s">
        <v>39</v>
      </c>
      <c r="N3" s="12">
        <v>11</v>
      </c>
      <c r="P3" s="4" t="s">
        <v>7</v>
      </c>
      <c r="Q3" s="12">
        <v>267</v>
      </c>
      <c r="T3" s="4" t="s">
        <v>29</v>
      </c>
      <c r="U3" s="12">
        <v>6</v>
      </c>
    </row>
    <row r="4" spans="1:21" x14ac:dyDescent="0.3">
      <c r="C4" s="4" t="s">
        <v>39</v>
      </c>
      <c r="D4">
        <v>20</v>
      </c>
      <c r="H4" s="4" t="s">
        <v>40</v>
      </c>
      <c r="I4" s="6">
        <v>34.25</v>
      </c>
      <c r="M4" s="4" t="s">
        <v>40</v>
      </c>
      <c r="N4" s="12">
        <v>20</v>
      </c>
      <c r="P4" s="4" t="s">
        <v>10</v>
      </c>
      <c r="Q4" s="12">
        <v>213</v>
      </c>
      <c r="T4" s="4" t="s">
        <v>26</v>
      </c>
      <c r="U4" s="12">
        <v>11</v>
      </c>
    </row>
    <row r="5" spans="1:21" x14ac:dyDescent="0.3">
      <c r="A5" t="s">
        <v>18</v>
      </c>
      <c r="C5" s="4" t="s">
        <v>40</v>
      </c>
      <c r="D5">
        <v>16</v>
      </c>
      <c r="H5" s="4" t="s">
        <v>41</v>
      </c>
      <c r="I5" s="6">
        <v>41.1</v>
      </c>
      <c r="M5" s="4" t="s">
        <v>41</v>
      </c>
      <c r="N5" s="12">
        <v>30</v>
      </c>
      <c r="P5" s="4" t="s">
        <v>1</v>
      </c>
      <c r="Q5" s="6">
        <v>480</v>
      </c>
      <c r="T5" s="4" t="s">
        <v>23</v>
      </c>
      <c r="U5" s="12">
        <v>12</v>
      </c>
    </row>
    <row r="6" spans="1:21" x14ac:dyDescent="0.3">
      <c r="A6" s="6">
        <v>34.429166666666667</v>
      </c>
      <c r="C6" s="4" t="s">
        <v>41</v>
      </c>
      <c r="D6">
        <v>20</v>
      </c>
      <c r="H6" s="4" t="s">
        <v>42</v>
      </c>
      <c r="I6" s="6">
        <v>31</v>
      </c>
      <c r="M6" s="4" t="s">
        <v>42</v>
      </c>
      <c r="N6" s="12">
        <v>24</v>
      </c>
      <c r="T6" s="4" t="s">
        <v>24</v>
      </c>
      <c r="U6" s="12">
        <v>12</v>
      </c>
    </row>
    <row r="7" spans="1:21" x14ac:dyDescent="0.3">
      <c r="C7" s="4" t="s">
        <v>42</v>
      </c>
      <c r="D7">
        <v>16</v>
      </c>
      <c r="H7" s="4" t="s">
        <v>43</v>
      </c>
      <c r="I7" s="6">
        <v>33.666666666666664</v>
      </c>
      <c r="M7" s="4" t="s">
        <v>43</v>
      </c>
      <c r="N7" s="12">
        <v>22</v>
      </c>
      <c r="T7" s="4" t="s">
        <v>28</v>
      </c>
      <c r="U7" s="12">
        <v>20</v>
      </c>
    </row>
    <row r="8" spans="1:21" x14ac:dyDescent="0.3">
      <c r="C8" s="4" t="s">
        <v>43</v>
      </c>
      <c r="D8">
        <v>18</v>
      </c>
      <c r="H8" s="4" t="s">
        <v>44</v>
      </c>
      <c r="I8" s="6">
        <v>34.5625</v>
      </c>
      <c r="M8" s="4" t="s">
        <v>44</v>
      </c>
      <c r="N8" s="12">
        <v>21</v>
      </c>
      <c r="T8" s="4" t="s">
        <v>27</v>
      </c>
      <c r="U8" s="12">
        <v>35</v>
      </c>
    </row>
    <row r="9" spans="1:21" x14ac:dyDescent="0.3">
      <c r="C9" s="4" t="s">
        <v>44</v>
      </c>
      <c r="D9">
        <v>16</v>
      </c>
      <c r="H9" s="4" t="s">
        <v>45</v>
      </c>
      <c r="I9" s="6">
        <v>34.93333333333333</v>
      </c>
      <c r="M9" s="4" t="s">
        <v>45</v>
      </c>
      <c r="N9" s="12">
        <v>24</v>
      </c>
      <c r="T9" s="4" t="s">
        <v>25</v>
      </c>
      <c r="U9" s="12">
        <v>93</v>
      </c>
    </row>
    <row r="10" spans="1:21" x14ac:dyDescent="0.3">
      <c r="A10" t="s">
        <v>20</v>
      </c>
      <c r="C10" s="4" t="s">
        <v>45</v>
      </c>
      <c r="D10">
        <v>15</v>
      </c>
      <c r="H10" s="4" t="s">
        <v>46</v>
      </c>
      <c r="I10" s="6">
        <v>36.4</v>
      </c>
      <c r="M10" s="4" t="s">
        <v>46</v>
      </c>
      <c r="N10" s="12">
        <v>18</v>
      </c>
      <c r="T10" s="4" t="s">
        <v>4</v>
      </c>
      <c r="U10" s="12">
        <v>291</v>
      </c>
    </row>
    <row r="11" spans="1:21" x14ac:dyDescent="0.3">
      <c r="A11" s="6">
        <v>5.1640625</v>
      </c>
      <c r="C11" s="4" t="s">
        <v>46</v>
      </c>
      <c r="D11">
        <v>20</v>
      </c>
      <c r="H11" s="4" t="s">
        <v>47</v>
      </c>
      <c r="I11" s="6">
        <v>35.549999999999997</v>
      </c>
      <c r="M11" s="4" t="s">
        <v>47</v>
      </c>
      <c r="N11" s="12">
        <v>25</v>
      </c>
      <c r="T11" s="4" t="s">
        <v>1</v>
      </c>
      <c r="U11" s="6">
        <v>480</v>
      </c>
    </row>
    <row r="12" spans="1:21" x14ac:dyDescent="0.3">
      <c r="C12" s="4" t="s">
        <v>47</v>
      </c>
      <c r="D12">
        <v>20</v>
      </c>
      <c r="H12" s="4" t="s">
        <v>48</v>
      </c>
      <c r="I12" s="6">
        <v>30.692307692307693</v>
      </c>
      <c r="M12" s="4" t="s">
        <v>48</v>
      </c>
      <c r="N12" s="12">
        <v>16</v>
      </c>
      <c r="Q12" s="3" t="s">
        <v>0</v>
      </c>
      <c r="R12" t="s">
        <v>2</v>
      </c>
    </row>
    <row r="13" spans="1:21" x14ac:dyDescent="0.3">
      <c r="C13" s="4" t="s">
        <v>48</v>
      </c>
      <c r="D13">
        <v>13</v>
      </c>
      <c r="H13" s="4" t="s">
        <v>49</v>
      </c>
      <c r="I13" s="6">
        <v>33.611111111111114</v>
      </c>
      <c r="M13" s="4" t="s">
        <v>49</v>
      </c>
      <c r="N13" s="12">
        <v>22</v>
      </c>
      <c r="Q13" s="4" t="s">
        <v>16</v>
      </c>
      <c r="R13" s="12">
        <v>261</v>
      </c>
    </row>
    <row r="14" spans="1:21" x14ac:dyDescent="0.3">
      <c r="C14" s="4" t="s">
        <v>49</v>
      </c>
      <c r="D14">
        <v>18</v>
      </c>
      <c r="H14" s="4" t="s">
        <v>50</v>
      </c>
      <c r="I14" s="6">
        <v>37.81818181818182</v>
      </c>
      <c r="M14" s="4" t="s">
        <v>50</v>
      </c>
      <c r="N14" s="12">
        <v>13</v>
      </c>
      <c r="Q14" s="4" t="s">
        <v>3</v>
      </c>
      <c r="R14" s="12">
        <v>219</v>
      </c>
      <c r="T14" s="3" t="s">
        <v>0</v>
      </c>
    </row>
    <row r="15" spans="1:21" x14ac:dyDescent="0.3">
      <c r="C15" s="4" t="s">
        <v>50</v>
      </c>
      <c r="D15">
        <v>11</v>
      </c>
      <c r="H15" s="4" t="s">
        <v>51</v>
      </c>
      <c r="I15" s="6">
        <v>40</v>
      </c>
      <c r="M15" s="4" t="s">
        <v>51</v>
      </c>
      <c r="N15" s="12">
        <v>18</v>
      </c>
      <c r="Q15" s="4" t="s">
        <v>1</v>
      </c>
      <c r="R15" s="6">
        <v>480</v>
      </c>
      <c r="T15" s="4" t="s">
        <v>14</v>
      </c>
    </row>
    <row r="16" spans="1:21" x14ac:dyDescent="0.3">
      <c r="C16" s="4" t="s">
        <v>51</v>
      </c>
      <c r="D16">
        <v>13</v>
      </c>
      <c r="H16" s="4" t="s">
        <v>52</v>
      </c>
      <c r="I16" s="6">
        <v>32</v>
      </c>
      <c r="M16" s="4" t="s">
        <v>52</v>
      </c>
      <c r="N16" s="12">
        <v>10</v>
      </c>
      <c r="T16" s="4" t="s">
        <v>9</v>
      </c>
    </row>
    <row r="17" spans="3:20" x14ac:dyDescent="0.3">
      <c r="C17" s="4" t="s">
        <v>52</v>
      </c>
      <c r="D17">
        <v>14</v>
      </c>
      <c r="H17" s="4" t="s">
        <v>53</v>
      </c>
      <c r="I17" s="6">
        <v>31.857142857142858</v>
      </c>
      <c r="M17" s="4" t="s">
        <v>54</v>
      </c>
      <c r="N17" s="12">
        <v>67</v>
      </c>
      <c r="T17" s="4" t="s">
        <v>13</v>
      </c>
    </row>
    <row r="18" spans="3:20" x14ac:dyDescent="0.3">
      <c r="C18" s="4" t="s">
        <v>53</v>
      </c>
      <c r="D18">
        <v>7</v>
      </c>
      <c r="H18" s="4" t="s">
        <v>54</v>
      </c>
      <c r="I18" s="6">
        <v>31.142857142857142</v>
      </c>
      <c r="M18" s="4" t="s">
        <v>55</v>
      </c>
      <c r="N18" s="12">
        <v>62</v>
      </c>
      <c r="T18" s="4" t="s">
        <v>15</v>
      </c>
    </row>
    <row r="19" spans="3:20" x14ac:dyDescent="0.3">
      <c r="C19" s="4" t="s">
        <v>54</v>
      </c>
      <c r="D19">
        <v>21</v>
      </c>
      <c r="H19" s="4" t="s">
        <v>55</v>
      </c>
      <c r="I19" s="6">
        <v>29.5</v>
      </c>
      <c r="M19" s="4" t="s">
        <v>56</v>
      </c>
      <c r="N19" s="12">
        <v>11</v>
      </c>
      <c r="T19" s="4" t="s">
        <v>11</v>
      </c>
    </row>
    <row r="20" spans="3:20" x14ac:dyDescent="0.3">
      <c r="C20" s="4" t="s">
        <v>55</v>
      </c>
      <c r="D20">
        <v>16</v>
      </c>
      <c r="H20" s="4" t="s">
        <v>56</v>
      </c>
      <c r="I20" s="6">
        <v>30.666666666666668</v>
      </c>
      <c r="M20" s="4" t="s">
        <v>57</v>
      </c>
      <c r="N20" s="12">
        <v>9</v>
      </c>
      <c r="T20" s="4" t="s">
        <v>12</v>
      </c>
    </row>
    <row r="21" spans="3:20" x14ac:dyDescent="0.3">
      <c r="C21" s="4" t="s">
        <v>56</v>
      </c>
      <c r="D21">
        <v>15</v>
      </c>
      <c r="H21" s="4" t="s">
        <v>57</v>
      </c>
      <c r="I21" s="6">
        <v>39.06666666666667</v>
      </c>
      <c r="M21" s="4" t="s">
        <v>58</v>
      </c>
      <c r="N21" s="12">
        <v>30</v>
      </c>
      <c r="T21" s="4" t="s">
        <v>6</v>
      </c>
    </row>
    <row r="22" spans="3:20" x14ac:dyDescent="0.3">
      <c r="C22" s="4" t="s">
        <v>57</v>
      </c>
      <c r="D22">
        <v>15</v>
      </c>
      <c r="H22" s="4" t="s">
        <v>58</v>
      </c>
      <c r="I22" s="6">
        <v>32.857142857142854</v>
      </c>
      <c r="M22" s="4" t="s">
        <v>59</v>
      </c>
      <c r="N22" s="12">
        <v>23</v>
      </c>
      <c r="T22" s="4" t="s">
        <v>8</v>
      </c>
    </row>
    <row r="23" spans="3:20" x14ac:dyDescent="0.3">
      <c r="C23" s="4" t="s">
        <v>58</v>
      </c>
      <c r="D23">
        <v>14</v>
      </c>
      <c r="H23" s="4" t="s">
        <v>59</v>
      </c>
      <c r="I23" s="6">
        <v>38.3125</v>
      </c>
      <c r="M23" s="4" t="s">
        <v>60</v>
      </c>
      <c r="N23" s="12">
        <v>22</v>
      </c>
      <c r="T23" s="4" t="s">
        <v>1</v>
      </c>
    </row>
    <row r="24" spans="3:20" x14ac:dyDescent="0.3">
      <c r="C24" s="4" t="s">
        <v>59</v>
      </c>
      <c r="D24">
        <v>16</v>
      </c>
      <c r="H24" s="4" t="s">
        <v>60</v>
      </c>
      <c r="I24" s="6">
        <v>35.80952380952381</v>
      </c>
      <c r="M24" s="4" t="s">
        <v>61</v>
      </c>
      <c r="N24" s="12">
        <v>28</v>
      </c>
    </row>
    <row r="25" spans="3:20" x14ac:dyDescent="0.3">
      <c r="C25" s="4" t="s">
        <v>60</v>
      </c>
      <c r="D25">
        <v>21</v>
      </c>
      <c r="H25" s="4" t="s">
        <v>61</v>
      </c>
      <c r="I25" s="6">
        <v>33.153846153846153</v>
      </c>
      <c r="M25" s="4" t="s">
        <v>62</v>
      </c>
      <c r="N25" s="12">
        <v>13</v>
      </c>
    </row>
    <row r="26" spans="3:20" x14ac:dyDescent="0.3">
      <c r="C26" s="4" t="s">
        <v>61</v>
      </c>
      <c r="D26">
        <v>13</v>
      </c>
      <c r="H26" s="4" t="s">
        <v>62</v>
      </c>
      <c r="I26" s="6">
        <v>39.18181818181818</v>
      </c>
      <c r="M26" s="4" t="s">
        <v>63</v>
      </c>
      <c r="N26" s="12">
        <v>12</v>
      </c>
    </row>
    <row r="27" spans="3:20" x14ac:dyDescent="0.3">
      <c r="C27" s="4" t="s">
        <v>62</v>
      </c>
      <c r="D27">
        <v>11</v>
      </c>
      <c r="H27" s="4" t="s">
        <v>63</v>
      </c>
      <c r="I27" s="6">
        <v>36.3125</v>
      </c>
      <c r="M27" s="4" t="s">
        <v>64</v>
      </c>
      <c r="N27" s="12">
        <v>22</v>
      </c>
    </row>
    <row r="28" spans="3:20" x14ac:dyDescent="0.3">
      <c r="C28" s="4" t="s">
        <v>63</v>
      </c>
      <c r="D28">
        <v>16</v>
      </c>
      <c r="H28" s="4" t="s">
        <v>64</v>
      </c>
      <c r="I28" s="6">
        <v>33</v>
      </c>
      <c r="M28" s="4" t="s">
        <v>65</v>
      </c>
      <c r="N28" s="12">
        <v>16</v>
      </c>
    </row>
    <row r="29" spans="3:20" x14ac:dyDescent="0.3">
      <c r="C29" s="4" t="s">
        <v>64</v>
      </c>
      <c r="D29">
        <v>11</v>
      </c>
      <c r="H29" s="4" t="s">
        <v>65</v>
      </c>
      <c r="I29" s="6">
        <v>32.857142857142854</v>
      </c>
      <c r="M29" s="4" t="s">
        <v>66</v>
      </c>
      <c r="N29" s="12">
        <v>19</v>
      </c>
    </row>
    <row r="30" spans="3:20" x14ac:dyDescent="0.3">
      <c r="C30" s="4" t="s">
        <v>65</v>
      </c>
      <c r="D30">
        <v>14</v>
      </c>
      <c r="H30" s="4" t="s">
        <v>66</v>
      </c>
      <c r="I30" s="6">
        <v>36.799999999999997</v>
      </c>
      <c r="M30" s="4" t="s">
        <v>67</v>
      </c>
      <c r="N30" s="12">
        <v>12</v>
      </c>
    </row>
    <row r="31" spans="3:20" x14ac:dyDescent="0.3">
      <c r="C31" s="4" t="s">
        <v>66</v>
      </c>
      <c r="D31">
        <v>10</v>
      </c>
      <c r="H31" s="4" t="s">
        <v>67</v>
      </c>
      <c r="I31" s="6">
        <v>32.866666666666667</v>
      </c>
      <c r="M31" s="4" t="s">
        <v>68</v>
      </c>
      <c r="N31" s="12">
        <v>16</v>
      </c>
    </row>
    <row r="32" spans="3:20" x14ac:dyDescent="0.3">
      <c r="C32" s="4" t="s">
        <v>67</v>
      </c>
      <c r="D32">
        <v>15</v>
      </c>
      <c r="H32" s="4" t="s">
        <v>68</v>
      </c>
      <c r="I32" s="6">
        <v>32.375</v>
      </c>
      <c r="M32" s="4" t="s">
        <v>69</v>
      </c>
      <c r="N32" s="12">
        <v>25</v>
      </c>
    </row>
    <row r="33" spans="1:14" x14ac:dyDescent="0.3">
      <c r="C33" s="4" t="s">
        <v>68</v>
      </c>
      <c r="D33">
        <v>24</v>
      </c>
      <c r="H33" s="4" t="s">
        <v>69</v>
      </c>
      <c r="I33" s="6">
        <v>36</v>
      </c>
      <c r="M33" s="4" t="s">
        <v>1</v>
      </c>
      <c r="N33" s="12">
        <v>661</v>
      </c>
    </row>
    <row r="34" spans="1:14" x14ac:dyDescent="0.3">
      <c r="C34" s="4" t="s">
        <v>69</v>
      </c>
      <c r="D34">
        <v>11</v>
      </c>
      <c r="H34" s="4" t="s">
        <v>1</v>
      </c>
      <c r="I34" s="6">
        <v>34.429166666666667</v>
      </c>
    </row>
    <row r="35" spans="1:14" x14ac:dyDescent="0.3">
      <c r="C35" s="4" t="s">
        <v>1</v>
      </c>
      <c r="D35">
        <v>480</v>
      </c>
    </row>
    <row r="40" spans="1:14" x14ac:dyDescent="0.3">
      <c r="A40" s="3" t="s">
        <v>0</v>
      </c>
      <c r="B40" t="s">
        <v>30</v>
      </c>
      <c r="C40" t="s">
        <v>31</v>
      </c>
    </row>
    <row r="41" spans="1:14" x14ac:dyDescent="0.3">
      <c r="A41" s="4" t="s">
        <v>5</v>
      </c>
      <c r="B41" s="12">
        <v>229</v>
      </c>
      <c r="C41" s="13">
        <v>0.47708333333333336</v>
      </c>
    </row>
    <row r="42" spans="1:14" x14ac:dyDescent="0.3">
      <c r="A42" s="4" t="s">
        <v>17</v>
      </c>
      <c r="B42" s="12">
        <v>251</v>
      </c>
      <c r="C42" s="13">
        <v>0.5229166666666667</v>
      </c>
    </row>
    <row r="43" spans="1:14" x14ac:dyDescent="0.3">
      <c r="A43" s="4" t="s">
        <v>1</v>
      </c>
      <c r="B43" s="6">
        <v>480</v>
      </c>
      <c r="C43" s="13">
        <v>1</v>
      </c>
    </row>
    <row r="48" spans="1:14" x14ac:dyDescent="0.3">
      <c r="A48" s="14" t="s">
        <v>32</v>
      </c>
      <c r="B48" s="15" t="s">
        <v>33</v>
      </c>
      <c r="C48" s="15" t="s">
        <v>34</v>
      </c>
      <c r="D48" s="15" t="s">
        <v>35</v>
      </c>
      <c r="H48" t="s">
        <v>36</v>
      </c>
    </row>
    <row r="49" spans="1:12" x14ac:dyDescent="0.3">
      <c r="A49" s="14" t="str">
        <f>A42</f>
        <v>Not Admitted</v>
      </c>
      <c r="B49" s="15">
        <f t="shared" ref="B49:C49" si="0">B42</f>
        <v>251</v>
      </c>
      <c r="C49" s="16">
        <f t="shared" si="0"/>
        <v>0.5229166666666667</v>
      </c>
      <c r="D49" s="15"/>
    </row>
    <row r="50" spans="1:12" x14ac:dyDescent="0.3">
      <c r="A50" s="14" t="str">
        <f>A41</f>
        <v>Admitted</v>
      </c>
      <c r="B50" s="15">
        <f t="shared" ref="B50:C50" si="1">B41</f>
        <v>229</v>
      </c>
      <c r="C50" s="16">
        <f t="shared" si="1"/>
        <v>0.47708333333333336</v>
      </c>
      <c r="D50" s="15"/>
    </row>
    <row r="54" spans="1:12" x14ac:dyDescent="0.3">
      <c r="A54" s="3" t="s">
        <v>0</v>
      </c>
      <c r="B54" t="s">
        <v>37</v>
      </c>
      <c r="D54" s="3" t="s">
        <v>0</v>
      </c>
      <c r="H54" s="5" t="s">
        <v>0</v>
      </c>
      <c r="K54" s="3" t="s">
        <v>0</v>
      </c>
      <c r="L54" t="s">
        <v>38</v>
      </c>
    </row>
    <row r="55" spans="1:12" x14ac:dyDescent="0.3">
      <c r="A55" s="4" t="s">
        <v>14</v>
      </c>
      <c r="B55" s="12">
        <v>63</v>
      </c>
      <c r="D55" s="4" t="s">
        <v>22</v>
      </c>
      <c r="K55" s="4" t="s">
        <v>16</v>
      </c>
      <c r="L55" s="12">
        <v>261</v>
      </c>
    </row>
    <row r="56" spans="1:12" x14ac:dyDescent="0.3">
      <c r="A56" s="4" t="s">
        <v>9</v>
      </c>
      <c r="B56" s="12">
        <v>49</v>
      </c>
      <c r="D56" s="7" t="s">
        <v>70</v>
      </c>
      <c r="K56" s="4" t="s">
        <v>3</v>
      </c>
      <c r="L56" s="12">
        <v>219</v>
      </c>
    </row>
    <row r="57" spans="1:12" x14ac:dyDescent="0.3">
      <c r="A57" s="4" t="s">
        <v>13</v>
      </c>
      <c r="B57" s="12">
        <v>57</v>
      </c>
      <c r="D57" s="8">
        <v>45047</v>
      </c>
      <c r="K57" s="4" t="s">
        <v>1</v>
      </c>
      <c r="L57" s="6">
        <v>480</v>
      </c>
    </row>
    <row r="58" spans="1:12" x14ac:dyDescent="0.3">
      <c r="A58" s="4" t="s">
        <v>15</v>
      </c>
      <c r="B58" s="12">
        <v>73</v>
      </c>
      <c r="D58" s="8">
        <v>45048</v>
      </c>
    </row>
    <row r="59" spans="1:12" x14ac:dyDescent="0.3">
      <c r="A59" s="4" t="s">
        <v>11</v>
      </c>
      <c r="B59" s="12">
        <v>63</v>
      </c>
      <c r="D59" s="8">
        <v>45049</v>
      </c>
    </row>
    <row r="60" spans="1:12" x14ac:dyDescent="0.3">
      <c r="A60" s="4" t="s">
        <v>12</v>
      </c>
      <c r="B60" s="12">
        <v>60</v>
      </c>
      <c r="D60" s="8">
        <v>45050</v>
      </c>
    </row>
    <row r="61" spans="1:12" x14ac:dyDescent="0.3">
      <c r="A61" s="4" t="s">
        <v>6</v>
      </c>
      <c r="B61" s="12">
        <v>57</v>
      </c>
      <c r="D61" s="8">
        <v>45051</v>
      </c>
    </row>
    <row r="62" spans="1:12" x14ac:dyDescent="0.3">
      <c r="A62" s="4" t="s">
        <v>8</v>
      </c>
      <c r="B62" s="12">
        <v>58</v>
      </c>
      <c r="D62" s="8">
        <v>45052</v>
      </c>
    </row>
    <row r="63" spans="1:12" x14ac:dyDescent="0.3">
      <c r="A63" s="4" t="s">
        <v>1</v>
      </c>
      <c r="B63" s="6">
        <v>480</v>
      </c>
      <c r="D63" s="8">
        <v>45053</v>
      </c>
    </row>
    <row r="64" spans="1:12" x14ac:dyDescent="0.3">
      <c r="D64" s="8">
        <v>45054</v>
      </c>
    </row>
    <row r="65" spans="4:4" x14ac:dyDescent="0.3">
      <c r="D65" s="8">
        <v>45055</v>
      </c>
    </row>
    <row r="66" spans="4:4" x14ac:dyDescent="0.3">
      <c r="D66" s="8">
        <v>45056</v>
      </c>
    </row>
    <row r="67" spans="4:4" x14ac:dyDescent="0.3">
      <c r="D67" s="8">
        <v>45057</v>
      </c>
    </row>
    <row r="68" spans="4:4" x14ac:dyDescent="0.3">
      <c r="D68" s="8">
        <v>45058</v>
      </c>
    </row>
    <row r="69" spans="4:4" x14ac:dyDescent="0.3">
      <c r="D69" s="8">
        <v>45059</v>
      </c>
    </row>
    <row r="70" spans="4:4" x14ac:dyDescent="0.3">
      <c r="D70" s="8">
        <v>45060</v>
      </c>
    </row>
    <row r="71" spans="4:4" x14ac:dyDescent="0.3">
      <c r="D71" s="8">
        <v>45061</v>
      </c>
    </row>
    <row r="72" spans="4:4" x14ac:dyDescent="0.3">
      <c r="D72" s="8">
        <v>45062</v>
      </c>
    </row>
    <row r="73" spans="4:4" x14ac:dyDescent="0.3">
      <c r="D73" s="8">
        <v>45063</v>
      </c>
    </row>
    <row r="74" spans="4:4" x14ac:dyDescent="0.3">
      <c r="D74" s="8">
        <v>45064</v>
      </c>
    </row>
    <row r="75" spans="4:4" x14ac:dyDescent="0.3">
      <c r="D75" s="8">
        <v>45065</v>
      </c>
    </row>
    <row r="76" spans="4:4" x14ac:dyDescent="0.3">
      <c r="D76" s="8">
        <v>45066</v>
      </c>
    </row>
    <row r="77" spans="4:4" x14ac:dyDescent="0.3">
      <c r="D77" s="8">
        <v>45067</v>
      </c>
    </row>
    <row r="78" spans="4:4" x14ac:dyDescent="0.3">
      <c r="D78" s="8">
        <v>45068</v>
      </c>
    </row>
    <row r="79" spans="4:4" x14ac:dyDescent="0.3">
      <c r="D79" s="8">
        <v>45069</v>
      </c>
    </row>
    <row r="80" spans="4:4" x14ac:dyDescent="0.3">
      <c r="D80" s="8">
        <v>45070</v>
      </c>
    </row>
    <row r="81" spans="4:4" x14ac:dyDescent="0.3">
      <c r="D81" s="8">
        <v>45071</v>
      </c>
    </row>
    <row r="82" spans="4:4" x14ac:dyDescent="0.3">
      <c r="D82" s="8">
        <v>45072</v>
      </c>
    </row>
    <row r="83" spans="4:4" x14ac:dyDescent="0.3">
      <c r="D83" s="8">
        <v>45073</v>
      </c>
    </row>
    <row r="84" spans="4:4" x14ac:dyDescent="0.3">
      <c r="D84" s="8">
        <v>45074</v>
      </c>
    </row>
    <row r="85" spans="4:4" x14ac:dyDescent="0.3">
      <c r="D85" s="8">
        <v>45075</v>
      </c>
    </row>
    <row r="86" spans="4:4" x14ac:dyDescent="0.3">
      <c r="D86" s="8">
        <v>45076</v>
      </c>
    </row>
    <row r="87" spans="4:4" x14ac:dyDescent="0.3">
      <c r="D87" s="8">
        <v>45077</v>
      </c>
    </row>
    <row r="88" spans="4:4" x14ac:dyDescent="0.3">
      <c r="D88" s="4" t="s">
        <v>1</v>
      </c>
    </row>
  </sheetData>
  <pageMargins left="0.7" right="0.7" top="0.75" bottom="0.75" header="0.3" footer="0.3"/>
  <pageSetup orientation="portrait" r:id="rId15"/>
  <drawing r:id="rId16"/>
  <extLst>
    <ext xmlns:x14="http://schemas.microsoft.com/office/spreadsheetml/2009/9/main" uri="{A8765BA9-456A-4dab-B4F3-ACF838C121DE}">
      <x14:slicerList>
        <x14:slicer r:id="rId1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49E03-7692-472B-B691-15C09AC1E08F}">
  <dimension ref="A1:S25"/>
  <sheetViews>
    <sheetView tabSelected="1" zoomScale="125" zoomScaleNormal="100" workbookViewId="0">
      <selection activeCell="E30" sqref="E30"/>
    </sheetView>
  </sheetViews>
  <sheetFormatPr defaultRowHeight="14.4" x14ac:dyDescent="0.3"/>
  <sheetData>
    <row r="1" spans="1:19" x14ac:dyDescent="0.3">
      <c r="A1" s="1"/>
      <c r="B1" s="1"/>
      <c r="C1" s="1"/>
      <c r="D1" s="1"/>
      <c r="E1" s="1"/>
      <c r="F1" s="1"/>
      <c r="G1" s="1"/>
      <c r="H1" s="1"/>
      <c r="I1" s="1"/>
      <c r="J1" s="1"/>
      <c r="K1" s="1"/>
      <c r="L1" s="1"/>
      <c r="M1" s="1"/>
      <c r="N1" s="1"/>
      <c r="O1" s="1"/>
      <c r="P1" s="1"/>
      <c r="Q1" s="1"/>
      <c r="R1" s="1"/>
      <c r="S1" s="2"/>
    </row>
    <row r="2" spans="1:19" x14ac:dyDescent="0.3">
      <c r="A2" s="1"/>
      <c r="B2" s="1"/>
      <c r="C2" s="1"/>
      <c r="D2" s="1"/>
      <c r="E2" s="1"/>
      <c r="F2" s="1"/>
      <c r="G2" s="1"/>
      <c r="H2" s="1"/>
      <c r="I2" s="1"/>
      <c r="J2" s="1"/>
      <c r="K2" s="1"/>
      <c r="L2" s="1"/>
      <c r="M2" s="1"/>
      <c r="N2" s="1"/>
      <c r="O2" s="1"/>
      <c r="P2" s="1"/>
      <c r="Q2" s="1"/>
      <c r="R2" s="1"/>
      <c r="S2" s="2"/>
    </row>
    <row r="3" spans="1:19" x14ac:dyDescent="0.3">
      <c r="A3" s="1"/>
      <c r="B3" s="1"/>
      <c r="C3" s="1"/>
      <c r="D3" s="1"/>
      <c r="E3" s="1"/>
      <c r="F3" s="1"/>
      <c r="G3" s="1"/>
      <c r="H3" s="1"/>
      <c r="I3" s="1"/>
      <c r="J3" s="1"/>
      <c r="K3" s="1"/>
      <c r="L3" s="1"/>
      <c r="M3" s="1"/>
      <c r="N3" s="1"/>
      <c r="O3" s="1"/>
      <c r="P3" s="1"/>
      <c r="Q3" s="1"/>
      <c r="R3" s="1"/>
      <c r="S3" s="2"/>
    </row>
    <row r="4" spans="1:19" x14ac:dyDescent="0.3">
      <c r="A4" s="1"/>
      <c r="B4" s="1"/>
      <c r="C4" s="1"/>
      <c r="D4" s="1"/>
      <c r="E4" s="1"/>
      <c r="F4" s="1"/>
      <c r="G4" s="1"/>
      <c r="H4" s="1"/>
      <c r="I4" s="1"/>
      <c r="J4" s="1"/>
      <c r="K4" s="1"/>
      <c r="L4" s="1"/>
      <c r="M4" s="1"/>
      <c r="N4" s="1"/>
      <c r="O4" s="1"/>
      <c r="P4" s="1"/>
      <c r="Q4" s="1"/>
      <c r="R4" s="1"/>
      <c r="S4" s="2"/>
    </row>
    <row r="5" spans="1:19" x14ac:dyDescent="0.3">
      <c r="A5" s="1"/>
      <c r="B5" s="1"/>
      <c r="C5" s="1"/>
      <c r="D5" s="1"/>
      <c r="E5" s="1"/>
      <c r="F5" s="1"/>
      <c r="G5" s="1"/>
      <c r="H5" s="1"/>
      <c r="I5" s="1"/>
      <c r="J5" s="1"/>
      <c r="K5" s="1"/>
      <c r="L5" s="1"/>
      <c r="M5" s="1"/>
      <c r="N5" s="1"/>
      <c r="O5" s="1"/>
      <c r="P5" s="1"/>
      <c r="Q5" s="1"/>
      <c r="R5" s="1"/>
      <c r="S5" s="2"/>
    </row>
    <row r="6" spans="1:19" x14ac:dyDescent="0.3">
      <c r="A6" s="1"/>
      <c r="B6" s="1"/>
      <c r="C6" s="1"/>
      <c r="D6" s="1"/>
      <c r="E6" s="1"/>
      <c r="F6" s="1"/>
      <c r="G6" s="1"/>
      <c r="H6" s="1"/>
      <c r="I6" s="1"/>
      <c r="J6" s="1"/>
      <c r="K6" s="1"/>
      <c r="L6" s="1"/>
      <c r="M6" s="1"/>
      <c r="N6" s="1"/>
      <c r="O6" s="1"/>
      <c r="P6" s="1"/>
      <c r="Q6" s="1"/>
      <c r="R6" s="1"/>
      <c r="S6" s="2"/>
    </row>
    <row r="7" spans="1:19" x14ac:dyDescent="0.3">
      <c r="A7" s="1"/>
      <c r="B7" s="1"/>
      <c r="C7" s="1"/>
      <c r="D7" s="1"/>
      <c r="E7" s="1"/>
      <c r="F7" s="1"/>
      <c r="G7" s="1"/>
      <c r="H7" s="1"/>
      <c r="I7" s="1"/>
      <c r="J7" s="1"/>
      <c r="K7" s="1"/>
      <c r="L7" s="1"/>
      <c r="M7" s="1"/>
      <c r="N7" s="1"/>
      <c r="O7" s="1"/>
      <c r="P7" s="1"/>
      <c r="Q7" s="1"/>
      <c r="R7" s="1"/>
      <c r="S7" s="2"/>
    </row>
    <row r="8" spans="1:19" x14ac:dyDescent="0.3">
      <c r="A8" s="1"/>
      <c r="B8" s="1"/>
      <c r="C8" s="1"/>
      <c r="D8" s="1"/>
      <c r="E8" s="1"/>
      <c r="F8" s="1"/>
      <c r="G8" s="1"/>
      <c r="H8" s="1"/>
      <c r="I8" s="1"/>
      <c r="J8" s="1"/>
      <c r="K8" s="1"/>
      <c r="L8" s="1"/>
      <c r="M8" s="1"/>
      <c r="N8" s="1"/>
      <c r="O8" s="1"/>
      <c r="P8" s="1"/>
      <c r="Q8" s="1"/>
      <c r="R8" s="1"/>
      <c r="S8" s="2"/>
    </row>
    <row r="9" spans="1:19" x14ac:dyDescent="0.3">
      <c r="A9" s="1"/>
      <c r="B9" s="1"/>
      <c r="C9" s="1"/>
      <c r="D9" s="1"/>
      <c r="E9" s="1"/>
      <c r="F9" s="1"/>
      <c r="G9" s="1"/>
      <c r="H9" s="1"/>
      <c r="I9" s="1"/>
      <c r="J9" s="1"/>
      <c r="K9" s="1"/>
      <c r="L9" s="1"/>
      <c r="M9" s="1"/>
      <c r="N9" s="1"/>
      <c r="O9" s="1"/>
      <c r="P9" s="1"/>
      <c r="Q9" s="1"/>
      <c r="R9" s="1"/>
      <c r="S9" s="2"/>
    </row>
    <row r="10" spans="1:19" x14ac:dyDescent="0.3">
      <c r="A10" s="1"/>
      <c r="B10" s="1"/>
      <c r="C10" s="1"/>
      <c r="D10" s="1"/>
      <c r="E10" s="1"/>
      <c r="F10" s="1"/>
      <c r="G10" s="1"/>
      <c r="H10" s="1"/>
      <c r="I10" s="1"/>
      <c r="J10" s="1"/>
      <c r="K10" s="1"/>
      <c r="L10" s="1"/>
      <c r="M10" s="1"/>
      <c r="N10" s="1"/>
      <c r="O10" s="1"/>
      <c r="P10" s="1"/>
      <c r="Q10" s="1"/>
      <c r="R10" s="1"/>
      <c r="S10" s="2"/>
    </row>
    <row r="11" spans="1:19" x14ac:dyDescent="0.3">
      <c r="A11" s="1"/>
      <c r="B11" s="1"/>
      <c r="C11" s="1"/>
      <c r="D11" s="1"/>
      <c r="E11" s="1"/>
      <c r="F11" s="1"/>
      <c r="G11" s="1"/>
      <c r="H11" s="1"/>
      <c r="I11" s="1"/>
      <c r="J11" s="1"/>
      <c r="K11" s="1"/>
      <c r="L11" s="1"/>
      <c r="M11" s="1"/>
      <c r="N11" s="1"/>
      <c r="O11" s="1"/>
      <c r="P11" s="1"/>
      <c r="Q11" s="1"/>
      <c r="R11" s="1"/>
      <c r="S11" s="2"/>
    </row>
    <row r="12" spans="1:19" x14ac:dyDescent="0.3">
      <c r="A12" s="1"/>
      <c r="B12" s="1"/>
      <c r="C12" s="1"/>
      <c r="D12" s="1"/>
      <c r="E12" s="1"/>
      <c r="F12" s="1"/>
      <c r="G12" s="1"/>
      <c r="H12" s="1"/>
      <c r="I12" s="1"/>
      <c r="J12" s="1"/>
      <c r="K12" s="1"/>
      <c r="L12" s="1"/>
      <c r="M12" s="1"/>
      <c r="N12" s="1"/>
      <c r="O12" s="1"/>
      <c r="P12" s="1"/>
      <c r="Q12" s="1"/>
      <c r="R12" s="1"/>
      <c r="S12" s="2"/>
    </row>
    <row r="13" spans="1:19" x14ac:dyDescent="0.3">
      <c r="A13" s="1"/>
      <c r="B13" s="1"/>
      <c r="C13" s="1"/>
      <c r="D13" s="1"/>
      <c r="E13" s="1"/>
      <c r="F13" s="1"/>
      <c r="G13" s="1"/>
      <c r="H13" s="1"/>
      <c r="I13" s="1"/>
      <c r="J13" s="1"/>
      <c r="K13" s="1"/>
      <c r="L13" s="1"/>
      <c r="M13" s="1"/>
      <c r="N13" s="1"/>
      <c r="O13" s="1"/>
      <c r="P13" s="1"/>
      <c r="Q13" s="1"/>
      <c r="R13" s="1"/>
      <c r="S13" s="2"/>
    </row>
    <row r="14" spans="1:19" x14ac:dyDescent="0.3">
      <c r="A14" s="1"/>
      <c r="B14" s="1"/>
      <c r="C14" s="1"/>
      <c r="D14" s="1"/>
      <c r="E14" s="1"/>
      <c r="F14" s="1"/>
      <c r="G14" s="1"/>
      <c r="H14" s="1"/>
      <c r="I14" s="1"/>
      <c r="J14" s="1"/>
      <c r="K14" s="1"/>
      <c r="L14" s="1"/>
      <c r="M14" s="1"/>
      <c r="N14" s="1"/>
      <c r="O14" s="1"/>
      <c r="P14" s="1"/>
      <c r="Q14" s="1"/>
      <c r="R14" s="1"/>
      <c r="S14" s="2"/>
    </row>
    <row r="15" spans="1:19" x14ac:dyDescent="0.3">
      <c r="A15" s="1"/>
      <c r="B15" s="1"/>
      <c r="C15" s="1"/>
      <c r="D15" s="1"/>
      <c r="E15" s="1"/>
      <c r="F15" s="1"/>
      <c r="G15" s="1"/>
      <c r="H15" s="1"/>
      <c r="I15" s="1"/>
      <c r="J15" s="1"/>
      <c r="K15" s="1"/>
      <c r="L15" s="1"/>
      <c r="M15" s="1"/>
      <c r="N15" s="1"/>
      <c r="O15" s="1"/>
      <c r="P15" s="1"/>
      <c r="Q15" s="1"/>
      <c r="R15" s="1"/>
      <c r="S15" s="2"/>
    </row>
    <row r="16" spans="1:19" x14ac:dyDescent="0.3">
      <c r="A16" s="1"/>
      <c r="B16" s="1"/>
      <c r="C16" s="1"/>
      <c r="D16" s="1"/>
      <c r="E16" s="1"/>
      <c r="F16" s="1"/>
      <c r="G16" s="1"/>
      <c r="H16" s="1"/>
      <c r="I16" s="1"/>
      <c r="J16" s="1"/>
      <c r="K16" s="1"/>
      <c r="L16" s="1"/>
      <c r="M16" s="1"/>
      <c r="N16" s="1"/>
      <c r="O16" s="1"/>
      <c r="P16" s="1"/>
      <c r="Q16" s="1"/>
      <c r="R16" s="1"/>
      <c r="S16" s="2"/>
    </row>
    <row r="17" spans="1:19" x14ac:dyDescent="0.3">
      <c r="A17" s="1"/>
      <c r="B17" s="1"/>
      <c r="C17" s="1"/>
      <c r="D17" s="1"/>
      <c r="E17" s="1"/>
      <c r="F17" s="1"/>
      <c r="G17" s="1"/>
      <c r="H17" s="1"/>
      <c r="I17" s="1"/>
      <c r="J17" s="1"/>
      <c r="K17" s="1"/>
      <c r="L17" s="1"/>
      <c r="M17" s="1"/>
      <c r="N17" s="1"/>
      <c r="O17" s="1"/>
      <c r="P17" s="1"/>
      <c r="Q17" s="1"/>
      <c r="R17" s="1"/>
      <c r="S17" s="2"/>
    </row>
    <row r="18" spans="1:19" x14ac:dyDescent="0.3">
      <c r="A18" s="1"/>
      <c r="B18" s="1"/>
      <c r="C18" s="1"/>
      <c r="D18" s="1"/>
      <c r="E18" s="1"/>
      <c r="F18" s="1"/>
      <c r="G18" s="1"/>
      <c r="H18" s="1"/>
      <c r="I18" s="1"/>
      <c r="J18" s="1"/>
      <c r="K18" s="1"/>
      <c r="L18" s="1"/>
      <c r="M18" s="1"/>
      <c r="N18" s="1"/>
      <c r="O18" s="1"/>
      <c r="P18" s="1"/>
      <c r="Q18" s="1"/>
      <c r="R18" s="1"/>
      <c r="S18" s="2"/>
    </row>
    <row r="19" spans="1:19" x14ac:dyDescent="0.3">
      <c r="A19" s="1"/>
      <c r="B19" s="1"/>
      <c r="C19" s="1"/>
      <c r="D19" s="1"/>
      <c r="E19" s="1"/>
      <c r="F19" s="1"/>
      <c r="G19" s="1"/>
      <c r="H19" s="1"/>
      <c r="I19" s="1"/>
      <c r="J19" s="1"/>
      <c r="K19" s="1"/>
      <c r="L19" s="1"/>
      <c r="M19" s="1"/>
      <c r="N19" s="1"/>
      <c r="O19" s="1"/>
      <c r="P19" s="1"/>
      <c r="Q19" s="1"/>
      <c r="R19" s="1"/>
      <c r="S19" s="2"/>
    </row>
    <row r="20" spans="1:19" x14ac:dyDescent="0.3">
      <c r="A20" s="1"/>
      <c r="B20" s="1"/>
      <c r="C20" s="1"/>
      <c r="D20" s="1"/>
      <c r="E20" s="1"/>
      <c r="F20" s="1"/>
      <c r="G20" s="1"/>
      <c r="H20" s="1"/>
      <c r="I20" s="1"/>
      <c r="J20" s="1"/>
      <c r="K20" s="1"/>
      <c r="L20" s="1"/>
      <c r="M20" s="1"/>
      <c r="N20" s="1"/>
      <c r="O20" s="1"/>
      <c r="P20" s="1"/>
      <c r="Q20" s="1"/>
      <c r="R20" s="1"/>
      <c r="S20" s="2"/>
    </row>
    <row r="21" spans="1:19" x14ac:dyDescent="0.3">
      <c r="A21" s="1"/>
      <c r="B21" s="1"/>
      <c r="C21" s="1"/>
      <c r="D21" s="1"/>
      <c r="E21" s="1"/>
      <c r="F21" s="1"/>
      <c r="G21" s="1"/>
      <c r="H21" s="1"/>
      <c r="I21" s="1"/>
      <c r="J21" s="1"/>
      <c r="K21" s="1"/>
      <c r="L21" s="1"/>
      <c r="M21" s="1"/>
      <c r="N21" s="1"/>
      <c r="O21" s="1"/>
      <c r="P21" s="1"/>
      <c r="Q21" s="1"/>
      <c r="R21" s="1"/>
      <c r="S21" s="2"/>
    </row>
    <row r="22" spans="1:19" x14ac:dyDescent="0.3">
      <c r="A22" s="1"/>
      <c r="B22" s="1"/>
      <c r="C22" s="1"/>
      <c r="D22" s="1"/>
      <c r="E22" s="1"/>
      <c r="F22" s="1"/>
      <c r="G22" s="1"/>
      <c r="H22" s="1"/>
      <c r="I22" s="1"/>
      <c r="J22" s="1"/>
      <c r="K22" s="1"/>
      <c r="L22" s="1"/>
      <c r="M22" s="1"/>
      <c r="N22" s="1"/>
      <c r="O22" s="1"/>
      <c r="P22" s="1"/>
      <c r="Q22" s="1"/>
      <c r="R22" s="1"/>
      <c r="S22" s="2"/>
    </row>
    <row r="23" spans="1:19" x14ac:dyDescent="0.3">
      <c r="A23" s="2"/>
      <c r="B23" s="2"/>
      <c r="C23" s="2"/>
      <c r="D23" s="2"/>
      <c r="E23" s="2"/>
      <c r="F23" s="2"/>
      <c r="G23" s="2"/>
      <c r="H23" s="2"/>
      <c r="I23" s="2"/>
      <c r="J23" s="2"/>
      <c r="K23" s="2"/>
      <c r="L23" s="2"/>
      <c r="M23" s="2"/>
      <c r="N23" s="2"/>
      <c r="O23" s="2"/>
      <c r="P23" s="2"/>
      <c r="Q23" s="2"/>
      <c r="R23" s="2"/>
      <c r="S23" s="2"/>
    </row>
    <row r="24" spans="1:19" x14ac:dyDescent="0.3">
      <c r="A24" s="2"/>
      <c r="B24" s="2"/>
      <c r="C24" s="2"/>
      <c r="D24" s="2"/>
      <c r="E24" s="2"/>
      <c r="F24" s="2"/>
      <c r="G24" s="2"/>
      <c r="H24" s="2"/>
      <c r="I24" s="2"/>
      <c r="J24" s="2"/>
      <c r="K24" s="2"/>
      <c r="L24" s="2"/>
      <c r="M24" s="2"/>
      <c r="N24" s="2"/>
      <c r="O24" s="2"/>
      <c r="P24" s="2"/>
      <c r="Q24" s="2"/>
      <c r="R24" s="2"/>
      <c r="S24" s="2"/>
    </row>
    <row r="25" spans="1:19" x14ac:dyDescent="0.3">
      <c r="A25" s="2"/>
      <c r="B25" s="2"/>
      <c r="C25" s="2"/>
      <c r="D25" s="2"/>
      <c r="E25" s="2"/>
      <c r="F25" s="2"/>
      <c r="G25" s="2"/>
      <c r="H25" s="2"/>
      <c r="I25" s="2"/>
      <c r="J25" s="2"/>
      <c r="K25" s="2"/>
      <c r="L25" s="2"/>
      <c r="M25" s="2"/>
      <c r="N25" s="2"/>
      <c r="O25" s="2"/>
      <c r="P25" s="2"/>
      <c r="Q25" s="2"/>
      <c r="R25" s="2"/>
      <c r="S25" s="2"/>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5D60D-8723-4E81-8398-0943D41E76A3}">
  <dimension ref="A1:M22"/>
  <sheetViews>
    <sheetView zoomScale="87" workbookViewId="0"/>
  </sheetViews>
  <sheetFormatPr defaultRowHeight="14.4" x14ac:dyDescent="0.3"/>
  <sheetData>
    <row r="1" spans="1:13" x14ac:dyDescent="0.3">
      <c r="A1" s="11"/>
      <c r="B1" s="11"/>
      <c r="C1" s="11"/>
      <c r="D1" s="11"/>
      <c r="E1" s="11"/>
      <c r="F1" s="11"/>
      <c r="G1" s="11"/>
      <c r="H1" s="11"/>
      <c r="I1" s="11"/>
      <c r="J1" s="11"/>
      <c r="K1" s="11"/>
      <c r="L1" s="11"/>
      <c r="M1" s="11"/>
    </row>
    <row r="2" spans="1:13" x14ac:dyDescent="0.3">
      <c r="A2" s="11"/>
      <c r="B2" s="11"/>
      <c r="C2" s="11"/>
      <c r="D2" s="11"/>
      <c r="E2" s="11"/>
      <c r="F2" s="11"/>
      <c r="G2" s="11"/>
      <c r="H2" s="11"/>
      <c r="I2" s="11"/>
      <c r="J2" s="11"/>
      <c r="K2" s="11"/>
      <c r="L2" s="11"/>
      <c r="M2" s="11"/>
    </row>
    <row r="3" spans="1:13" x14ac:dyDescent="0.3">
      <c r="A3" s="11"/>
      <c r="B3" s="11"/>
      <c r="C3" s="11"/>
      <c r="D3" s="11"/>
      <c r="E3" s="11"/>
      <c r="F3" s="11"/>
      <c r="G3" s="11"/>
      <c r="H3" s="11"/>
      <c r="I3" s="11"/>
      <c r="J3" s="11"/>
      <c r="K3" s="11"/>
      <c r="L3" s="11"/>
      <c r="M3" s="11"/>
    </row>
    <row r="4" spans="1:13" x14ac:dyDescent="0.3">
      <c r="A4" s="11"/>
      <c r="B4" s="11"/>
      <c r="C4" s="11"/>
      <c r="D4" s="11"/>
      <c r="E4" s="11"/>
      <c r="F4" s="11"/>
      <c r="G4" s="11"/>
      <c r="H4" s="11"/>
      <c r="I4" s="11"/>
      <c r="J4" s="11"/>
      <c r="K4" s="11"/>
      <c r="L4" s="11"/>
      <c r="M4" s="11"/>
    </row>
    <row r="5" spans="1:13" x14ac:dyDescent="0.3">
      <c r="A5" s="11"/>
      <c r="B5" s="11"/>
      <c r="C5" s="11"/>
      <c r="D5" s="11"/>
      <c r="E5" s="11"/>
      <c r="F5" s="11"/>
      <c r="G5" s="11"/>
      <c r="H5" s="11"/>
      <c r="I5" s="11"/>
      <c r="J5" s="11"/>
      <c r="K5" s="11"/>
      <c r="L5" s="11"/>
      <c r="M5" s="11"/>
    </row>
    <row r="6" spans="1:13" x14ac:dyDescent="0.3">
      <c r="A6" s="11"/>
      <c r="B6" s="11"/>
      <c r="C6" s="11"/>
      <c r="D6" s="11"/>
      <c r="E6" s="11"/>
      <c r="F6" s="11"/>
      <c r="G6" s="11"/>
      <c r="H6" s="11"/>
      <c r="I6" s="11"/>
      <c r="J6" s="11"/>
      <c r="K6" s="11"/>
      <c r="L6" s="11"/>
      <c r="M6" s="11"/>
    </row>
    <row r="7" spans="1:13" x14ac:dyDescent="0.3">
      <c r="A7" s="11"/>
      <c r="B7" s="11"/>
      <c r="C7" s="11"/>
      <c r="D7" s="11"/>
      <c r="E7" s="11"/>
      <c r="F7" s="11"/>
      <c r="G7" s="11"/>
      <c r="H7" s="11"/>
      <c r="I7" s="11"/>
      <c r="J7" s="11"/>
      <c r="K7" s="11"/>
      <c r="L7" s="11"/>
      <c r="M7" s="11"/>
    </row>
    <row r="8" spans="1:13" x14ac:dyDescent="0.3">
      <c r="A8" s="11"/>
      <c r="B8" s="11"/>
      <c r="C8" s="11"/>
      <c r="D8" s="11"/>
      <c r="E8" s="11"/>
      <c r="F8" s="11"/>
      <c r="G8" s="11"/>
      <c r="H8" s="11"/>
      <c r="I8" s="11"/>
      <c r="J8" s="11"/>
      <c r="K8" s="11"/>
      <c r="L8" s="11"/>
      <c r="M8" s="11"/>
    </row>
    <row r="9" spans="1:13" x14ac:dyDescent="0.3">
      <c r="A9" s="11"/>
      <c r="B9" s="11"/>
      <c r="C9" s="11"/>
      <c r="D9" s="11"/>
      <c r="E9" s="11"/>
      <c r="F9" s="11"/>
      <c r="G9" s="11"/>
      <c r="H9" s="11"/>
      <c r="I9" s="11"/>
      <c r="J9" s="11"/>
      <c r="K9" s="11"/>
      <c r="L9" s="11"/>
      <c r="M9" s="11"/>
    </row>
    <row r="10" spans="1:13" x14ac:dyDescent="0.3">
      <c r="A10" s="11"/>
      <c r="B10" s="11"/>
      <c r="C10" s="11"/>
      <c r="D10" s="11"/>
      <c r="E10" s="11"/>
      <c r="F10" s="11"/>
      <c r="G10" s="11"/>
      <c r="H10" s="11"/>
      <c r="I10" s="11"/>
      <c r="J10" s="11"/>
      <c r="K10" s="11"/>
      <c r="L10" s="11"/>
      <c r="M10" s="11"/>
    </row>
    <row r="11" spans="1:13" x14ac:dyDescent="0.3">
      <c r="A11" s="11"/>
      <c r="B11" s="11"/>
      <c r="C11" s="11"/>
      <c r="D11" s="11"/>
      <c r="E11" s="11"/>
      <c r="F11" s="11"/>
      <c r="G11" s="11"/>
      <c r="H11" s="11"/>
      <c r="I11" s="11"/>
      <c r="J11" s="11"/>
      <c r="K11" s="11"/>
      <c r="L11" s="11"/>
      <c r="M11" s="11"/>
    </row>
    <row r="12" spans="1:13" x14ac:dyDescent="0.3">
      <c r="A12" s="11"/>
      <c r="B12" s="11"/>
      <c r="C12" s="11"/>
      <c r="D12" s="11"/>
      <c r="E12" s="11"/>
      <c r="F12" s="11"/>
      <c r="G12" s="11"/>
      <c r="H12" s="11"/>
      <c r="I12" s="11"/>
      <c r="J12" s="11"/>
      <c r="K12" s="11"/>
      <c r="L12" s="11"/>
      <c r="M12" s="11"/>
    </row>
    <row r="13" spans="1:13" x14ac:dyDescent="0.3">
      <c r="A13" s="11"/>
      <c r="B13" s="11"/>
      <c r="C13" s="11"/>
      <c r="D13" s="11"/>
      <c r="E13" s="11"/>
      <c r="F13" s="11"/>
      <c r="G13" s="11"/>
      <c r="H13" s="11"/>
      <c r="I13" s="11"/>
      <c r="J13" s="11"/>
      <c r="K13" s="11"/>
      <c r="L13" s="11"/>
      <c r="M13" s="11"/>
    </row>
    <row r="14" spans="1:13" x14ac:dyDescent="0.3">
      <c r="A14" s="11"/>
      <c r="B14" s="11"/>
      <c r="C14" s="11"/>
      <c r="D14" s="11"/>
      <c r="E14" s="11"/>
      <c r="F14" s="11"/>
      <c r="G14" s="11"/>
      <c r="H14" s="11"/>
      <c r="I14" s="11"/>
      <c r="J14" s="11"/>
      <c r="K14" s="11"/>
      <c r="L14" s="11"/>
      <c r="M14" s="11"/>
    </row>
    <row r="15" spans="1:13" x14ac:dyDescent="0.3">
      <c r="A15" s="11"/>
      <c r="B15" s="11"/>
      <c r="C15" s="11"/>
      <c r="D15" s="11"/>
      <c r="E15" s="11"/>
      <c r="F15" s="11"/>
      <c r="G15" s="11"/>
      <c r="H15" s="11"/>
      <c r="I15" s="11"/>
      <c r="J15" s="11"/>
      <c r="K15" s="11"/>
      <c r="L15" s="11"/>
      <c r="M15" s="11"/>
    </row>
    <row r="16" spans="1:13" x14ac:dyDescent="0.3">
      <c r="A16" s="11"/>
      <c r="B16" s="11"/>
      <c r="C16" s="11"/>
      <c r="D16" s="11"/>
      <c r="E16" s="11"/>
      <c r="F16" s="11"/>
      <c r="G16" s="11"/>
      <c r="H16" s="11"/>
      <c r="I16" s="11"/>
      <c r="J16" s="11"/>
      <c r="K16" s="11"/>
      <c r="L16" s="11"/>
      <c r="M16" s="11"/>
    </row>
    <row r="17" spans="1:13" x14ac:dyDescent="0.3">
      <c r="A17" s="11"/>
      <c r="B17" s="11"/>
      <c r="C17" s="11"/>
      <c r="D17" s="11"/>
      <c r="E17" s="11"/>
      <c r="F17" s="11"/>
      <c r="G17" s="11"/>
      <c r="H17" s="11"/>
      <c r="I17" s="11"/>
      <c r="J17" s="11"/>
      <c r="K17" s="11"/>
      <c r="L17" s="11"/>
      <c r="M17" s="11"/>
    </row>
    <row r="18" spans="1:13" x14ac:dyDescent="0.3">
      <c r="A18" s="11"/>
      <c r="B18" s="11"/>
      <c r="C18" s="11"/>
      <c r="D18" s="11"/>
      <c r="E18" s="11"/>
      <c r="F18" s="11"/>
      <c r="G18" s="11"/>
      <c r="H18" s="11"/>
      <c r="I18" s="11"/>
      <c r="J18" s="11"/>
      <c r="K18" s="11"/>
      <c r="L18" s="11"/>
      <c r="M18" s="11"/>
    </row>
    <row r="19" spans="1:13" x14ac:dyDescent="0.3">
      <c r="A19" s="11"/>
      <c r="B19" s="11"/>
      <c r="C19" s="11"/>
      <c r="D19" s="11"/>
      <c r="E19" s="11"/>
      <c r="F19" s="11"/>
      <c r="G19" s="11"/>
      <c r="H19" s="11"/>
      <c r="I19" s="11"/>
      <c r="J19" s="11"/>
      <c r="K19" s="11"/>
      <c r="L19" s="11"/>
      <c r="M19" s="11"/>
    </row>
    <row r="20" spans="1:13" x14ac:dyDescent="0.3">
      <c r="A20" s="11"/>
      <c r="B20" s="11"/>
      <c r="C20" s="11"/>
      <c r="D20" s="11"/>
      <c r="E20" s="11"/>
      <c r="F20" s="11"/>
      <c r="G20" s="11"/>
      <c r="H20" s="11"/>
      <c r="I20" s="11"/>
      <c r="J20" s="11"/>
      <c r="K20" s="11"/>
      <c r="L20" s="11"/>
      <c r="M20" s="11"/>
    </row>
    <row r="21" spans="1:13" x14ac:dyDescent="0.3">
      <c r="A21" s="11"/>
      <c r="B21" s="11"/>
      <c r="C21" s="11"/>
      <c r="D21" s="11"/>
      <c r="E21" s="11"/>
      <c r="F21" s="11"/>
      <c r="G21" s="11"/>
      <c r="H21" s="11"/>
      <c r="I21" s="11"/>
      <c r="J21" s="11"/>
      <c r="K21" s="11"/>
      <c r="L21" s="11"/>
      <c r="M21" s="11"/>
    </row>
    <row r="22" spans="1:13" x14ac:dyDescent="0.3">
      <c r="A22" s="11"/>
      <c r="B22" s="11"/>
      <c r="C22" s="11"/>
      <c r="D22" s="11"/>
      <c r="E22" s="11"/>
      <c r="F22" s="11"/>
      <c r="G22" s="11"/>
      <c r="H22" s="11"/>
      <c r="I22" s="11"/>
      <c r="J22" s="11"/>
      <c r="K22" s="11"/>
      <c r="L22" s="11"/>
      <c r="M22"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1FBF-E459-490A-BDA5-C16A4CAC4350}">
  <dimension ref="A1:O26"/>
  <sheetViews>
    <sheetView workbookViewId="0">
      <selection activeCell="Q4" sqref="Q4"/>
    </sheetView>
  </sheetViews>
  <sheetFormatPr defaultRowHeight="14.4" x14ac:dyDescent="0.3"/>
  <sheetData>
    <row r="1" spans="1:15" x14ac:dyDescent="0.3">
      <c r="A1" s="9"/>
      <c r="B1" s="9"/>
      <c r="C1" s="9"/>
      <c r="D1" s="9"/>
      <c r="E1" s="9"/>
      <c r="F1" s="9"/>
      <c r="G1" s="9"/>
      <c r="H1" s="9"/>
      <c r="I1" s="9"/>
      <c r="J1" s="9"/>
      <c r="K1" s="9"/>
      <c r="L1" s="9"/>
      <c r="M1" s="9"/>
      <c r="N1" s="9"/>
      <c r="O1" s="9"/>
    </row>
    <row r="2" spans="1:15" x14ac:dyDescent="0.3">
      <c r="A2" s="9"/>
      <c r="B2" s="9"/>
      <c r="C2" s="9"/>
      <c r="D2" s="9"/>
      <c r="E2" s="9"/>
      <c r="F2" s="9"/>
      <c r="G2" s="9"/>
      <c r="H2" s="9"/>
      <c r="I2" s="9"/>
      <c r="J2" s="9"/>
      <c r="K2" s="9"/>
      <c r="L2" s="9"/>
      <c r="M2" s="9"/>
      <c r="N2" s="9"/>
      <c r="O2" s="9"/>
    </row>
    <row r="3" spans="1:15" x14ac:dyDescent="0.3">
      <c r="A3" s="9"/>
      <c r="B3" s="9"/>
      <c r="C3" s="9"/>
      <c r="D3" s="9"/>
      <c r="E3" s="9"/>
      <c r="F3" s="9"/>
      <c r="G3" s="9"/>
      <c r="H3" s="9"/>
      <c r="I3" s="9"/>
      <c r="J3" s="9"/>
      <c r="K3" s="9"/>
      <c r="L3" s="9"/>
      <c r="M3" s="9"/>
      <c r="N3" s="9"/>
      <c r="O3" s="9"/>
    </row>
    <row r="4" spans="1:15" x14ac:dyDescent="0.3">
      <c r="A4" s="9"/>
      <c r="B4" s="9"/>
      <c r="C4" s="9"/>
      <c r="D4" s="9"/>
      <c r="E4" s="9"/>
      <c r="F4" s="9"/>
      <c r="G4" s="9"/>
      <c r="H4" s="9"/>
      <c r="I4" s="9"/>
      <c r="J4" s="9"/>
      <c r="K4" s="9"/>
      <c r="L4" s="9"/>
      <c r="M4" s="9"/>
      <c r="N4" s="9"/>
      <c r="O4" s="9"/>
    </row>
    <row r="5" spans="1:15" x14ac:dyDescent="0.3">
      <c r="A5" s="9"/>
      <c r="B5" s="9"/>
      <c r="C5" s="9"/>
      <c r="D5" s="9"/>
      <c r="E5" s="9"/>
      <c r="F5" s="9"/>
      <c r="G5" s="9"/>
      <c r="H5" s="9"/>
      <c r="I5" s="9"/>
      <c r="J5" s="9"/>
      <c r="K5" s="9"/>
      <c r="L5" s="9"/>
      <c r="M5" s="9"/>
      <c r="N5" s="9"/>
      <c r="O5" s="9"/>
    </row>
    <row r="6" spans="1:15" x14ac:dyDescent="0.3">
      <c r="A6" s="9"/>
      <c r="B6" s="9"/>
      <c r="C6" s="9"/>
      <c r="D6" s="9"/>
      <c r="E6" s="9"/>
      <c r="F6" s="9"/>
      <c r="G6" s="9"/>
      <c r="H6" s="9"/>
      <c r="I6" s="9"/>
      <c r="J6" s="9"/>
      <c r="K6" s="9"/>
      <c r="L6" s="9"/>
      <c r="M6" s="9"/>
      <c r="N6" s="9"/>
      <c r="O6" s="9"/>
    </row>
    <row r="7" spans="1:15" x14ac:dyDescent="0.3">
      <c r="A7" s="9"/>
      <c r="B7" s="9"/>
      <c r="C7" s="9"/>
      <c r="D7" s="9"/>
      <c r="E7" s="9"/>
      <c r="F7" s="9"/>
      <c r="G7" s="9"/>
      <c r="H7" s="9"/>
      <c r="I7" s="9"/>
      <c r="J7" s="9"/>
      <c r="K7" s="9"/>
      <c r="L7" s="9"/>
      <c r="M7" s="9"/>
      <c r="N7" s="9"/>
      <c r="O7" s="9"/>
    </row>
    <row r="8" spans="1:15" x14ac:dyDescent="0.3">
      <c r="A8" s="9"/>
      <c r="B8" s="9"/>
      <c r="C8" s="9"/>
      <c r="D8" s="9"/>
      <c r="E8" s="9"/>
      <c r="F8" s="9"/>
      <c r="G8" s="9"/>
      <c r="H8" s="9"/>
      <c r="I8" s="9"/>
      <c r="J8" s="9"/>
      <c r="K8" s="9"/>
      <c r="L8" s="9"/>
      <c r="M8" s="9"/>
      <c r="N8" s="9"/>
      <c r="O8" s="9"/>
    </row>
    <row r="9" spans="1:15" x14ac:dyDescent="0.3">
      <c r="A9" s="9"/>
      <c r="B9" s="9"/>
      <c r="C9" s="9"/>
      <c r="D9" s="9"/>
      <c r="E9" s="9"/>
      <c r="F9" s="9"/>
      <c r="G9" s="9"/>
      <c r="H9" s="9"/>
      <c r="I9" s="9"/>
      <c r="J9" s="9"/>
      <c r="K9" s="9"/>
      <c r="L9" s="9"/>
      <c r="M9" s="9"/>
      <c r="N9" s="9"/>
      <c r="O9" s="9"/>
    </row>
    <row r="10" spans="1:15" x14ac:dyDescent="0.3">
      <c r="A10" s="9"/>
      <c r="B10" s="9"/>
      <c r="C10" s="9"/>
      <c r="D10" s="9"/>
      <c r="E10" s="9"/>
      <c r="F10" s="9"/>
      <c r="G10" s="9"/>
      <c r="H10" s="9"/>
      <c r="I10" s="9"/>
      <c r="J10" s="9"/>
      <c r="K10" s="9"/>
      <c r="L10" s="9"/>
      <c r="M10" s="9"/>
      <c r="N10" s="9"/>
      <c r="O10" s="9"/>
    </row>
    <row r="11" spans="1:15" x14ac:dyDescent="0.3">
      <c r="A11" s="9"/>
      <c r="B11" s="9"/>
      <c r="C11" s="9"/>
      <c r="D11" s="9"/>
      <c r="E11" s="9"/>
      <c r="F11" s="9"/>
      <c r="G11" s="9"/>
      <c r="H11" s="9"/>
      <c r="I11" s="9"/>
      <c r="J11" s="9"/>
      <c r="K11" s="9"/>
      <c r="L11" s="9"/>
      <c r="M11" s="9"/>
      <c r="N11" s="9"/>
      <c r="O11" s="9"/>
    </row>
    <row r="12" spans="1:15" x14ac:dyDescent="0.3">
      <c r="A12" s="9"/>
      <c r="B12" s="9"/>
      <c r="C12" s="9"/>
      <c r="D12" s="9"/>
      <c r="E12" s="9"/>
      <c r="F12" s="9"/>
      <c r="G12" s="9"/>
      <c r="H12" s="9"/>
      <c r="I12" s="9"/>
      <c r="J12" s="9"/>
      <c r="K12" s="9"/>
      <c r="L12" s="9"/>
      <c r="M12" s="9"/>
      <c r="N12" s="9"/>
      <c r="O12" s="9"/>
    </row>
    <row r="13" spans="1:15" x14ac:dyDescent="0.3">
      <c r="A13" s="9"/>
      <c r="B13" s="9"/>
      <c r="C13" s="9"/>
      <c r="D13" s="9"/>
      <c r="E13" s="9"/>
      <c r="F13" s="9"/>
      <c r="G13" s="9"/>
      <c r="H13" s="9"/>
      <c r="I13" s="9"/>
      <c r="J13" s="9"/>
      <c r="K13" s="9"/>
      <c r="L13" s="9"/>
      <c r="M13" s="9"/>
      <c r="N13" s="9"/>
      <c r="O13" s="9"/>
    </row>
    <row r="14" spans="1:15" x14ac:dyDescent="0.3">
      <c r="A14" s="9"/>
      <c r="B14" s="9"/>
      <c r="C14" s="9"/>
      <c r="D14" s="9"/>
      <c r="E14" s="9"/>
      <c r="F14" s="9"/>
      <c r="G14" s="9"/>
      <c r="H14" s="9"/>
      <c r="I14" s="9"/>
      <c r="J14" s="9"/>
      <c r="K14" s="9"/>
      <c r="L14" s="9"/>
      <c r="M14" s="9"/>
      <c r="N14" s="9"/>
      <c r="O14" s="9"/>
    </row>
    <row r="15" spans="1:15" x14ac:dyDescent="0.3">
      <c r="A15" s="9"/>
      <c r="B15" s="9"/>
      <c r="C15" s="9"/>
      <c r="D15" s="9"/>
      <c r="E15" s="9"/>
      <c r="F15" s="9"/>
      <c r="G15" s="9"/>
      <c r="H15" s="9"/>
      <c r="I15" s="9"/>
      <c r="J15" s="9"/>
      <c r="K15" s="9"/>
      <c r="L15" s="9"/>
      <c r="M15" s="9"/>
      <c r="N15" s="9"/>
      <c r="O15" s="9"/>
    </row>
    <row r="16" spans="1:15" x14ac:dyDescent="0.3">
      <c r="A16" s="9"/>
      <c r="B16" s="9"/>
      <c r="C16" s="9"/>
      <c r="D16" s="9"/>
      <c r="E16" s="9"/>
      <c r="F16" s="9"/>
      <c r="G16" s="9"/>
      <c r="H16" s="9"/>
      <c r="I16" s="9"/>
      <c r="J16" s="9"/>
      <c r="K16" s="9"/>
      <c r="L16" s="9"/>
      <c r="M16" s="9"/>
      <c r="N16" s="9"/>
      <c r="O16" s="9"/>
    </row>
    <row r="17" spans="1:15" x14ac:dyDescent="0.3">
      <c r="A17" s="9"/>
      <c r="B17" s="9"/>
      <c r="C17" s="9"/>
      <c r="D17" s="9"/>
      <c r="E17" s="9"/>
      <c r="F17" s="9"/>
      <c r="G17" s="9"/>
      <c r="H17" s="9"/>
      <c r="I17" s="9"/>
      <c r="J17" s="9"/>
      <c r="K17" s="9"/>
      <c r="L17" s="9"/>
      <c r="M17" s="9"/>
      <c r="N17" s="9"/>
      <c r="O17" s="9"/>
    </row>
    <row r="18" spans="1:15" x14ac:dyDescent="0.3">
      <c r="A18" s="9"/>
      <c r="B18" s="9"/>
      <c r="C18" s="9"/>
      <c r="D18" s="9"/>
      <c r="E18" s="9"/>
      <c r="F18" s="9"/>
      <c r="G18" s="9"/>
      <c r="H18" s="9"/>
      <c r="I18" s="9"/>
      <c r="J18" s="9"/>
      <c r="K18" s="9"/>
      <c r="L18" s="9"/>
      <c r="M18" s="9"/>
      <c r="N18" s="9"/>
      <c r="O18" s="9"/>
    </row>
    <row r="19" spans="1:15" x14ac:dyDescent="0.3">
      <c r="A19" s="9"/>
      <c r="B19" s="9"/>
      <c r="C19" s="9"/>
      <c r="D19" s="9"/>
      <c r="E19" s="9"/>
      <c r="F19" s="9"/>
      <c r="G19" s="9"/>
      <c r="H19" s="9"/>
      <c r="I19" s="9"/>
      <c r="J19" s="9"/>
      <c r="K19" s="9"/>
      <c r="L19" s="9"/>
      <c r="M19" s="9"/>
      <c r="N19" s="9"/>
      <c r="O19" s="9"/>
    </row>
    <row r="20" spans="1:15" x14ac:dyDescent="0.3">
      <c r="A20" s="9"/>
      <c r="B20" s="9"/>
      <c r="C20" s="9"/>
      <c r="D20" s="9"/>
      <c r="E20" s="9"/>
      <c r="F20" s="9"/>
      <c r="G20" s="9"/>
      <c r="H20" s="9"/>
      <c r="I20" s="9"/>
      <c r="J20" s="9"/>
      <c r="K20" s="9"/>
      <c r="L20" s="9"/>
      <c r="M20" s="9"/>
      <c r="N20" s="9"/>
      <c r="O20" s="9"/>
    </row>
    <row r="21" spans="1:15" x14ac:dyDescent="0.3">
      <c r="A21" s="9"/>
      <c r="B21" s="9"/>
      <c r="C21" s="9"/>
      <c r="D21" s="9"/>
      <c r="E21" s="9"/>
      <c r="F21" s="9"/>
      <c r="G21" s="9"/>
      <c r="H21" s="9"/>
      <c r="I21" s="9"/>
      <c r="J21" s="9"/>
      <c r="K21" s="9"/>
      <c r="L21" s="9"/>
      <c r="M21" s="9"/>
      <c r="N21" s="9"/>
      <c r="O21" s="9"/>
    </row>
    <row r="22" spans="1:15" x14ac:dyDescent="0.3">
      <c r="A22" s="9"/>
      <c r="B22" s="9"/>
      <c r="C22" s="9"/>
      <c r="D22" s="9"/>
      <c r="E22" s="9"/>
      <c r="F22" s="9"/>
      <c r="G22" s="9"/>
      <c r="H22" s="9"/>
      <c r="I22" s="9"/>
      <c r="J22" s="9"/>
      <c r="K22" s="9"/>
      <c r="L22" s="9"/>
      <c r="M22" s="9"/>
      <c r="N22" s="9"/>
      <c r="O22" s="9"/>
    </row>
    <row r="23" spans="1:15" x14ac:dyDescent="0.3">
      <c r="A23" s="9"/>
      <c r="B23" s="9"/>
      <c r="C23" s="9"/>
      <c r="D23" s="9"/>
      <c r="E23" s="9"/>
      <c r="F23" s="9"/>
      <c r="G23" s="9"/>
      <c r="H23" s="9"/>
      <c r="I23" s="9"/>
      <c r="J23" s="9"/>
      <c r="K23" s="9"/>
      <c r="L23" s="9"/>
      <c r="M23" s="9"/>
      <c r="N23" s="9"/>
      <c r="O23" s="9"/>
    </row>
    <row r="24" spans="1:15" x14ac:dyDescent="0.3">
      <c r="A24" s="9"/>
      <c r="B24" s="9"/>
      <c r="C24" s="9"/>
      <c r="D24" s="9"/>
      <c r="E24" s="9"/>
      <c r="F24" s="9"/>
      <c r="G24" s="9"/>
      <c r="H24" s="9"/>
      <c r="I24" s="9"/>
      <c r="J24" s="9"/>
      <c r="K24" s="9"/>
      <c r="L24" s="9"/>
      <c r="M24" s="9"/>
      <c r="N24" s="9"/>
      <c r="O24" s="9"/>
    </row>
    <row r="25" spans="1:15" x14ac:dyDescent="0.3">
      <c r="A25" s="9"/>
      <c r="B25" s="9"/>
      <c r="C25" s="9"/>
      <c r="D25" s="9"/>
      <c r="E25" s="9"/>
      <c r="F25" s="9"/>
      <c r="G25" s="9"/>
      <c r="H25" s="9"/>
      <c r="I25" s="9"/>
      <c r="J25" s="9"/>
      <c r="K25" s="9"/>
      <c r="L25" s="9"/>
      <c r="M25" s="9"/>
      <c r="N25" s="9"/>
      <c r="O25" s="9"/>
    </row>
    <row r="26" spans="1:15" x14ac:dyDescent="0.3">
      <c r="A26" s="9"/>
      <c r="B26" s="9"/>
      <c r="C26" s="9"/>
      <c r="D26" s="9"/>
      <c r="E26" s="9"/>
      <c r="F26" s="9"/>
      <c r="G26" s="9"/>
      <c r="H26" s="9"/>
      <c r="I26" s="9"/>
      <c r="J26" s="9"/>
      <c r="K26" s="9"/>
      <c r="L26" s="9"/>
      <c r="M26" s="9"/>
      <c r="N26" s="9"/>
      <c r="O26" s="9"/>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322A7-301B-4CEF-9A7F-490B4E95388C}">
  <dimension ref="A1:N24"/>
  <sheetViews>
    <sheetView workbookViewId="0"/>
  </sheetViews>
  <sheetFormatPr defaultRowHeight="14.4" x14ac:dyDescent="0.3"/>
  <sheetData>
    <row r="1" spans="1:14" x14ac:dyDescent="0.3">
      <c r="A1" s="10"/>
      <c r="B1" s="10"/>
      <c r="C1" s="10"/>
      <c r="D1" s="10"/>
      <c r="E1" s="10"/>
      <c r="F1" s="10"/>
      <c r="G1" s="10"/>
      <c r="H1" s="10"/>
      <c r="I1" s="10"/>
      <c r="J1" s="10"/>
      <c r="K1" s="10"/>
      <c r="L1" s="10"/>
      <c r="M1" s="10"/>
      <c r="N1" s="10"/>
    </row>
    <row r="2" spans="1:14" x14ac:dyDescent="0.3">
      <c r="A2" s="10"/>
      <c r="B2" s="10"/>
      <c r="C2" s="10"/>
      <c r="D2" s="10"/>
      <c r="E2" s="10"/>
      <c r="F2" s="10"/>
      <c r="G2" s="10"/>
      <c r="H2" s="10"/>
      <c r="I2" s="10"/>
      <c r="J2" s="10"/>
      <c r="K2" s="10"/>
      <c r="L2" s="10"/>
      <c r="M2" s="10"/>
      <c r="N2" s="10"/>
    </row>
    <row r="3" spans="1:14" x14ac:dyDescent="0.3">
      <c r="A3" s="10"/>
      <c r="B3" s="10"/>
      <c r="C3" s="10"/>
      <c r="D3" s="10"/>
      <c r="E3" s="10"/>
      <c r="F3" s="10"/>
      <c r="G3" s="10"/>
      <c r="H3" s="10"/>
      <c r="I3" s="10"/>
      <c r="J3" s="10"/>
      <c r="K3" s="10"/>
      <c r="L3" s="10"/>
      <c r="M3" s="10"/>
      <c r="N3" s="10"/>
    </row>
    <row r="4" spans="1:14" x14ac:dyDescent="0.3">
      <c r="A4" s="10"/>
      <c r="B4" s="10"/>
      <c r="C4" s="10"/>
      <c r="D4" s="10"/>
      <c r="E4" s="10"/>
      <c r="F4" s="10"/>
      <c r="G4" s="10"/>
      <c r="H4" s="10"/>
      <c r="I4" s="10"/>
      <c r="J4" s="10"/>
      <c r="K4" s="10"/>
      <c r="L4" s="10"/>
      <c r="M4" s="10"/>
      <c r="N4" s="10"/>
    </row>
    <row r="5" spans="1:14" x14ac:dyDescent="0.3">
      <c r="A5" s="10"/>
      <c r="B5" s="10"/>
      <c r="C5" s="10"/>
      <c r="D5" s="10"/>
      <c r="E5" s="10"/>
      <c r="F5" s="10"/>
      <c r="G5" s="10"/>
      <c r="H5" s="10"/>
      <c r="I5" s="10"/>
      <c r="J5" s="10"/>
      <c r="K5" s="10"/>
      <c r="L5" s="10"/>
      <c r="M5" s="10"/>
      <c r="N5" s="10"/>
    </row>
    <row r="6" spans="1:14" x14ac:dyDescent="0.3">
      <c r="A6" s="10"/>
      <c r="B6" s="10"/>
      <c r="C6" s="10"/>
      <c r="D6" s="10"/>
      <c r="E6" s="10"/>
      <c r="F6" s="10"/>
      <c r="G6" s="10"/>
      <c r="H6" s="10"/>
      <c r="I6" s="10"/>
      <c r="J6" s="10"/>
      <c r="K6" s="10"/>
      <c r="L6" s="10"/>
      <c r="M6" s="10"/>
      <c r="N6" s="10"/>
    </row>
    <row r="7" spans="1:14" x14ac:dyDescent="0.3">
      <c r="A7" s="10"/>
      <c r="B7" s="10"/>
      <c r="C7" s="10"/>
      <c r="D7" s="10"/>
      <c r="E7" s="10"/>
      <c r="F7" s="10"/>
      <c r="G7" s="10"/>
      <c r="H7" s="10"/>
      <c r="I7" s="10"/>
      <c r="J7" s="10"/>
      <c r="K7" s="10"/>
      <c r="L7" s="10"/>
      <c r="M7" s="10"/>
      <c r="N7" s="10"/>
    </row>
    <row r="8" spans="1:14" x14ac:dyDescent="0.3">
      <c r="A8" s="10"/>
      <c r="B8" s="10"/>
      <c r="C8" s="10"/>
      <c r="D8" s="10"/>
      <c r="E8" s="10"/>
      <c r="F8" s="10"/>
      <c r="G8" s="10"/>
      <c r="H8" s="10"/>
      <c r="I8" s="10"/>
      <c r="J8" s="10"/>
      <c r="K8" s="10"/>
      <c r="L8" s="10"/>
      <c r="M8" s="10"/>
      <c r="N8" s="10"/>
    </row>
    <row r="9" spans="1:14" x14ac:dyDescent="0.3">
      <c r="A9" s="10"/>
      <c r="B9" s="10"/>
      <c r="C9" s="10"/>
      <c r="D9" s="10"/>
      <c r="E9" s="10"/>
      <c r="F9" s="10"/>
      <c r="G9" s="10"/>
      <c r="H9" s="10"/>
      <c r="I9" s="10"/>
      <c r="J9" s="10"/>
      <c r="K9" s="10"/>
      <c r="L9" s="10"/>
      <c r="M9" s="10"/>
      <c r="N9" s="10"/>
    </row>
    <row r="10" spans="1:14" x14ac:dyDescent="0.3">
      <c r="A10" s="10"/>
      <c r="B10" s="10"/>
      <c r="C10" s="10"/>
      <c r="D10" s="10"/>
      <c r="E10" s="10"/>
      <c r="F10" s="10"/>
      <c r="G10" s="10"/>
      <c r="H10" s="10"/>
      <c r="I10" s="10"/>
      <c r="J10" s="10"/>
      <c r="K10" s="10"/>
      <c r="L10" s="10"/>
      <c r="M10" s="10"/>
      <c r="N10" s="10"/>
    </row>
    <row r="11" spans="1:14" x14ac:dyDescent="0.3">
      <c r="A11" s="10"/>
      <c r="B11" s="10"/>
      <c r="C11" s="10"/>
      <c r="D11" s="10"/>
      <c r="E11" s="10"/>
      <c r="F11" s="10"/>
      <c r="G11" s="10"/>
      <c r="H11" s="10"/>
      <c r="I11" s="10"/>
      <c r="J11" s="10"/>
      <c r="K11" s="10"/>
      <c r="L11" s="10"/>
      <c r="M11" s="10"/>
      <c r="N11" s="10"/>
    </row>
    <row r="12" spans="1:14" x14ac:dyDescent="0.3">
      <c r="A12" s="10"/>
      <c r="B12" s="10"/>
      <c r="C12" s="10"/>
      <c r="D12" s="10"/>
      <c r="E12" s="10"/>
      <c r="F12" s="10"/>
      <c r="G12" s="10"/>
      <c r="H12" s="10"/>
      <c r="I12" s="10"/>
      <c r="J12" s="10"/>
      <c r="K12" s="10"/>
      <c r="L12" s="10"/>
      <c r="M12" s="10"/>
      <c r="N12" s="10"/>
    </row>
    <row r="13" spans="1:14" x14ac:dyDescent="0.3">
      <c r="A13" s="10"/>
      <c r="B13" s="10"/>
      <c r="C13" s="10"/>
      <c r="D13" s="10"/>
      <c r="E13" s="10"/>
      <c r="F13" s="10"/>
      <c r="G13" s="10"/>
      <c r="H13" s="10"/>
      <c r="I13" s="10"/>
      <c r="J13" s="10"/>
      <c r="K13" s="10"/>
      <c r="L13" s="10"/>
      <c r="M13" s="10"/>
      <c r="N13" s="10"/>
    </row>
    <row r="14" spans="1:14" x14ac:dyDescent="0.3">
      <c r="A14" s="10"/>
      <c r="B14" s="10"/>
      <c r="C14" s="10"/>
      <c r="D14" s="10"/>
      <c r="E14" s="10"/>
      <c r="F14" s="10"/>
      <c r="G14" s="10"/>
      <c r="H14" s="10"/>
      <c r="I14" s="10"/>
      <c r="J14" s="10"/>
      <c r="K14" s="10"/>
      <c r="L14" s="10"/>
      <c r="M14" s="10"/>
      <c r="N14" s="10"/>
    </row>
    <row r="15" spans="1:14" x14ac:dyDescent="0.3">
      <c r="A15" s="10"/>
      <c r="B15" s="10"/>
      <c r="C15" s="10"/>
      <c r="D15" s="10"/>
      <c r="E15" s="10"/>
      <c r="F15" s="10"/>
      <c r="G15" s="10"/>
      <c r="H15" s="10"/>
      <c r="I15" s="10"/>
      <c r="J15" s="10"/>
      <c r="K15" s="10"/>
      <c r="L15" s="10"/>
      <c r="M15" s="10"/>
      <c r="N15" s="10"/>
    </row>
    <row r="16" spans="1:14" x14ac:dyDescent="0.3">
      <c r="A16" s="10"/>
      <c r="B16" s="10"/>
      <c r="C16" s="10"/>
      <c r="D16" s="10"/>
      <c r="E16" s="10"/>
      <c r="F16" s="10"/>
      <c r="G16" s="10"/>
      <c r="H16" s="10"/>
      <c r="I16" s="10"/>
      <c r="J16" s="10"/>
      <c r="K16" s="10"/>
      <c r="L16" s="10"/>
      <c r="M16" s="10"/>
      <c r="N16" s="10"/>
    </row>
    <row r="17" spans="1:14" x14ac:dyDescent="0.3">
      <c r="A17" s="10"/>
      <c r="B17" s="10"/>
      <c r="C17" s="10"/>
      <c r="D17" s="10"/>
      <c r="E17" s="10"/>
      <c r="F17" s="10"/>
      <c r="G17" s="10"/>
      <c r="H17" s="10"/>
      <c r="I17" s="10"/>
      <c r="J17" s="10"/>
      <c r="K17" s="10"/>
      <c r="L17" s="10"/>
      <c r="M17" s="10"/>
      <c r="N17" s="10"/>
    </row>
    <row r="18" spans="1:14" x14ac:dyDescent="0.3">
      <c r="A18" s="10"/>
      <c r="B18" s="10"/>
      <c r="C18" s="10"/>
      <c r="D18" s="10"/>
      <c r="E18" s="10"/>
      <c r="F18" s="10"/>
      <c r="G18" s="10"/>
      <c r="H18" s="10"/>
      <c r="I18" s="10"/>
      <c r="J18" s="10"/>
      <c r="K18" s="10"/>
      <c r="L18" s="10"/>
      <c r="M18" s="10"/>
      <c r="N18" s="10"/>
    </row>
    <row r="19" spans="1:14" x14ac:dyDescent="0.3">
      <c r="A19" s="10"/>
      <c r="B19" s="10"/>
      <c r="C19" s="10"/>
      <c r="D19" s="10"/>
      <c r="E19" s="10"/>
      <c r="F19" s="10"/>
      <c r="G19" s="10"/>
      <c r="H19" s="10"/>
      <c r="I19" s="10"/>
      <c r="J19" s="10"/>
      <c r="K19" s="10"/>
      <c r="L19" s="10"/>
      <c r="M19" s="10"/>
      <c r="N19" s="10"/>
    </row>
    <row r="20" spans="1:14" x14ac:dyDescent="0.3">
      <c r="A20" s="10"/>
      <c r="B20" s="10"/>
      <c r="C20" s="10"/>
      <c r="D20" s="10"/>
      <c r="E20" s="10"/>
      <c r="F20" s="10"/>
      <c r="G20" s="10"/>
      <c r="H20" s="10"/>
      <c r="I20" s="10"/>
      <c r="J20" s="10"/>
      <c r="K20" s="10"/>
      <c r="L20" s="10"/>
      <c r="M20" s="10"/>
      <c r="N20" s="10"/>
    </row>
    <row r="21" spans="1:14" x14ac:dyDescent="0.3">
      <c r="A21" s="10"/>
      <c r="B21" s="10"/>
      <c r="C21" s="10"/>
      <c r="D21" s="10"/>
      <c r="E21" s="10"/>
      <c r="F21" s="10"/>
      <c r="G21" s="10"/>
      <c r="H21" s="10"/>
      <c r="I21" s="10"/>
      <c r="J21" s="10"/>
      <c r="K21" s="10"/>
      <c r="L21" s="10"/>
      <c r="M21" s="10"/>
      <c r="N21" s="10"/>
    </row>
    <row r="22" spans="1:14" x14ac:dyDescent="0.3">
      <c r="A22" s="10"/>
      <c r="B22" s="10"/>
      <c r="C22" s="10"/>
      <c r="D22" s="10"/>
      <c r="E22" s="10"/>
      <c r="F22" s="10"/>
      <c r="G22" s="10"/>
      <c r="H22" s="10"/>
      <c r="I22" s="10"/>
      <c r="J22" s="10"/>
      <c r="K22" s="10"/>
      <c r="L22" s="10"/>
      <c r="M22" s="10"/>
      <c r="N22" s="10"/>
    </row>
    <row r="23" spans="1:14" x14ac:dyDescent="0.3">
      <c r="A23" s="10"/>
      <c r="B23" s="10"/>
      <c r="C23" s="10"/>
      <c r="D23" s="10"/>
      <c r="E23" s="10"/>
      <c r="F23" s="10"/>
      <c r="G23" s="10"/>
      <c r="H23" s="10"/>
      <c r="I23" s="10"/>
      <c r="J23" s="10"/>
      <c r="K23" s="10"/>
      <c r="L23" s="10"/>
      <c r="M23" s="10"/>
      <c r="N23" s="10"/>
    </row>
    <row r="24" spans="1:14" x14ac:dyDescent="0.3">
      <c r="A24" s="10"/>
      <c r="B24" s="10"/>
      <c r="C24" s="10"/>
      <c r="D24" s="10"/>
      <c r="E24" s="10"/>
      <c r="F24" s="10"/>
      <c r="G24" s="10"/>
      <c r="H24" s="10"/>
      <c r="I24" s="10"/>
      <c r="J24" s="10"/>
      <c r="K24" s="10"/>
      <c r="L24" s="10"/>
      <c r="M24" s="10"/>
      <c r="N24" s="10"/>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D391F6B1-0F32-4682-912A-187FFD953F8A}">
  <ds:schemaRefs/>
</ds:datastoreItem>
</file>

<file path=customXml/itemProps2.xml><?xml version="1.0" encoding="utf-8"?>
<ds:datastoreItem xmlns:ds="http://schemas.openxmlformats.org/officeDocument/2006/customXml" ds:itemID="{270913AC-612E-46AE-9C59-0CD4FDD93355}">
  <ds:schemaRefs/>
</ds:datastoreItem>
</file>

<file path=customXml/itemProps3.xml><?xml version="1.0" encoding="utf-8"?>
<ds:datastoreItem xmlns:ds="http://schemas.openxmlformats.org/officeDocument/2006/customXml" ds:itemID="{06CDBBB8-B444-4E0C-B5CF-063F8E5CFF1F}">
  <ds:schemaRefs/>
</ds:datastoreItem>
</file>

<file path=customXml/itemProps4.xml><?xml version="1.0" encoding="utf-8"?>
<ds:datastoreItem xmlns:ds="http://schemas.openxmlformats.org/officeDocument/2006/customXml" ds:itemID="{F0F33E37-5D64-42E5-82F3-9C6A9653A0CE}">
  <ds:schemaRefs/>
</ds:datastoreItem>
</file>

<file path=customXml/itemProps5.xml><?xml version="1.0" encoding="utf-8"?>
<ds:datastoreItem xmlns:ds="http://schemas.openxmlformats.org/officeDocument/2006/customXml" ds:itemID="{FA83225B-4218-4DB1-AB35-BB603E6AFE05}">
  <ds:schemaRefs/>
</ds:datastoreItem>
</file>

<file path=customXml/itemProps6.xml><?xml version="1.0" encoding="utf-8"?>
<ds:datastoreItem xmlns:ds="http://schemas.openxmlformats.org/officeDocument/2006/customXml" ds:itemID="{FD5F46F7-FABC-40EF-A8C0-F7BD0F1042BE}">
  <ds:schemaRefs/>
</ds:datastoreItem>
</file>

<file path=customXml/itemProps7.xml><?xml version="1.0" encoding="utf-8"?>
<ds:datastoreItem xmlns:ds="http://schemas.openxmlformats.org/officeDocument/2006/customXml" ds:itemID="{264068D8-7496-4D0D-80CC-9825F5920714}">
  <ds:schemaRefs/>
</ds:datastoreItem>
</file>

<file path=customXml/itemProps8.xml><?xml version="1.0" encoding="utf-8"?>
<ds:datastoreItem xmlns:ds="http://schemas.openxmlformats.org/officeDocument/2006/customXml" ds:itemID="{46E40623-6252-4679-94DF-78267AC31F5C}">
  <ds:schemaRefs/>
</ds:datastoreItem>
</file>

<file path=customXml/itemProps9.xml><?xml version="1.0" encoding="utf-8"?>
<ds:datastoreItem xmlns:ds="http://schemas.openxmlformats.org/officeDocument/2006/customXml" ds:itemID="{C83CC315-8622-4942-882E-CBF1AEA87674}">
  <ds:schemaRefs/>
</ds:datastoreItem>
</file>

<file path=customXml/itemProps10.xml><?xml version="1.0" encoding="utf-8"?>
<ds:datastoreItem xmlns:ds="http://schemas.openxmlformats.org/officeDocument/2006/customXml" ds:itemID="{DBFC8505-8379-4623-8B62-F9C48AC1322D}">
  <ds:schemaRefs/>
</ds:datastoreItem>
</file>

<file path=customXml/itemProps11.xml><?xml version="1.0" encoding="utf-8"?>
<ds:datastoreItem xmlns:ds="http://schemas.openxmlformats.org/officeDocument/2006/customXml" ds:itemID="{19A46391-D93D-44C6-B266-9D116DA265F8}">
  <ds:schemaRefs/>
</ds:datastoreItem>
</file>

<file path=customXml/itemProps12.xml><?xml version="1.0" encoding="utf-8"?>
<ds:datastoreItem xmlns:ds="http://schemas.openxmlformats.org/officeDocument/2006/customXml" ds:itemID="{282AD75E-F5AE-400D-8479-6BC0F4D01DA4}">
  <ds:schemaRefs/>
</ds:datastoreItem>
</file>

<file path=customXml/itemProps13.xml><?xml version="1.0" encoding="utf-8"?>
<ds:datastoreItem xmlns:ds="http://schemas.openxmlformats.org/officeDocument/2006/customXml" ds:itemID="{36BD1F88-22A8-41CC-B209-050C95413240}">
  <ds:schemaRefs/>
</ds:datastoreItem>
</file>

<file path=customXml/itemProps14.xml><?xml version="1.0" encoding="utf-8"?>
<ds:datastoreItem xmlns:ds="http://schemas.openxmlformats.org/officeDocument/2006/customXml" ds:itemID="{FA0AAC08-B0EF-4BAE-8F58-93C34379DA8A}">
  <ds:schemaRefs/>
</ds:datastoreItem>
</file>

<file path=customXml/itemProps15.xml><?xml version="1.0" encoding="utf-8"?>
<ds:datastoreItem xmlns:ds="http://schemas.openxmlformats.org/officeDocument/2006/customXml" ds:itemID="{C4157EF5-5FA1-4FC0-895F-0BFE0FDE7714}">
  <ds:schemaRefs>
    <ds:schemaRef ds:uri="http://schemas.microsoft.com/DataMashup"/>
  </ds:schemaRefs>
</ds:datastoreItem>
</file>

<file path=customXml/itemProps16.xml><?xml version="1.0" encoding="utf-8"?>
<ds:datastoreItem xmlns:ds="http://schemas.openxmlformats.org/officeDocument/2006/customXml" ds:itemID="{D0866982-5559-4004-88BF-99557F17D0DE}">
  <ds:schemaRefs/>
</ds:datastoreItem>
</file>

<file path=customXml/itemProps17.xml><?xml version="1.0" encoding="utf-8"?>
<ds:datastoreItem xmlns:ds="http://schemas.openxmlformats.org/officeDocument/2006/customXml" ds:itemID="{4E58B377-CE10-4279-A3A9-00A33AECD191}">
  <ds:schemaRefs/>
</ds:datastoreItem>
</file>

<file path=customXml/itemProps18.xml><?xml version="1.0" encoding="utf-8"?>
<ds:datastoreItem xmlns:ds="http://schemas.openxmlformats.org/officeDocument/2006/customXml" ds:itemID="{28CE73BC-50E9-47A9-B0DA-23C75AC9644D}">
  <ds:schemaRefs/>
</ds:datastoreItem>
</file>

<file path=customXml/itemProps19.xml><?xml version="1.0" encoding="utf-8"?>
<ds:datastoreItem xmlns:ds="http://schemas.openxmlformats.org/officeDocument/2006/customXml" ds:itemID="{8114EB78-88D3-4E98-9649-F08C4259D62E}">
  <ds:schemaRefs/>
</ds:datastoreItem>
</file>

<file path=customXml/itemProps20.xml><?xml version="1.0" encoding="utf-8"?>
<ds:datastoreItem xmlns:ds="http://schemas.openxmlformats.org/officeDocument/2006/customXml" ds:itemID="{24E63136-4F22-49CA-8037-8D67E0E081D6}">
  <ds:schemaRefs/>
</ds:datastoreItem>
</file>

<file path=customXml/itemProps21.xml><?xml version="1.0" encoding="utf-8"?>
<ds:datastoreItem xmlns:ds="http://schemas.openxmlformats.org/officeDocument/2006/customXml" ds:itemID="{A2081837-08B2-480C-835A-52CB84592BD1}">
  <ds:schemaRefs/>
</ds:datastoreItem>
</file>

<file path=customXml/itemProps22.xml><?xml version="1.0" encoding="utf-8"?>
<ds:datastoreItem xmlns:ds="http://schemas.openxmlformats.org/officeDocument/2006/customXml" ds:itemID="{2FA6FF51-6647-43AB-A6E8-0CB902DED9F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 Data</vt:lpstr>
      <vt:lpstr>Pivot Table</vt:lpstr>
      <vt:lpstr>Dashboard</vt:lpstr>
      <vt:lpstr>Patient Satification Score</vt:lpstr>
      <vt:lpstr>Avg Patient Waittime</vt:lpstr>
      <vt:lpstr>Daily ER No. Of Patient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Mayur Gupta</dc:creator>
  <cp:lastModifiedBy>Mayur Gupta</cp:lastModifiedBy>
  <dcterms:created xsi:type="dcterms:W3CDTF">2026-04-02T15:01:16Z</dcterms:created>
  <dcterms:modified xsi:type="dcterms:W3CDTF">2026-04-07T17:00:39Z</dcterms:modified>
</cp:coreProperties>
</file>